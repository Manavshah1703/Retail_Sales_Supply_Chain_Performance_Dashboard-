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AV SHAH\Downloads\"/>
    </mc:Choice>
  </mc:AlternateContent>
  <xr:revisionPtr revIDLastSave="0" documentId="13_ncr:1_{E6A174B7-4236-40D1-8DA7-51AFC09A69F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lean_Data" sheetId="1" r:id="rId1"/>
    <sheet name="Pivot Tables" sheetId="3" r:id="rId2"/>
    <sheet name="KPI'S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C2" i="2"/>
  <c r="B2" i="2"/>
  <c r="A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2" i="1"/>
  <c r="D500" i="1"/>
  <c r="D501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<sst xmlns="http://schemas.openxmlformats.org/spreadsheetml/2006/main" count="3051" uniqueCount="555">
  <si>
    <t>Order ID</t>
  </si>
  <si>
    <t>Order Date</t>
  </si>
  <si>
    <t>Ship Date</t>
  </si>
  <si>
    <t>Supplier</t>
  </si>
  <si>
    <t>Product</t>
  </si>
  <si>
    <t>Category</t>
  </si>
  <si>
    <t>Region</t>
  </si>
  <si>
    <t>Quantity</t>
  </si>
  <si>
    <t>Sales</t>
  </si>
  <si>
    <t>Cost</t>
  </si>
  <si>
    <t>Ship Mode</t>
  </si>
  <si>
    <t>ORD0001</t>
  </si>
  <si>
    <t>Supplier C</t>
  </si>
  <si>
    <t>Router</t>
  </si>
  <si>
    <t>Accessories</t>
  </si>
  <si>
    <t>South</t>
  </si>
  <si>
    <t>Same Day</t>
  </si>
  <si>
    <t>ORD0002</t>
  </si>
  <si>
    <t>Supplier B</t>
  </si>
  <si>
    <t>Electronics</t>
  </si>
  <si>
    <t>West</t>
  </si>
  <si>
    <t>Express</t>
  </si>
  <si>
    <t>ORD0003</t>
  </si>
  <si>
    <t>Supplier A</t>
  </si>
  <si>
    <t>Printer</t>
  </si>
  <si>
    <t>East</t>
  </si>
  <si>
    <t>ORD0004</t>
  </si>
  <si>
    <t>Monitor</t>
  </si>
  <si>
    <t>ORD0005</t>
  </si>
  <si>
    <t>Standard</t>
  </si>
  <si>
    <t>ORD0006</t>
  </si>
  <si>
    <t>Laptop</t>
  </si>
  <si>
    <t>ORD0007</t>
  </si>
  <si>
    <t>Phone</t>
  </si>
  <si>
    <t>ORD0008</t>
  </si>
  <si>
    <t>ORD0009</t>
  </si>
  <si>
    <t>ORD0010</t>
  </si>
  <si>
    <t>ORD0011</t>
  </si>
  <si>
    <t>ORD0012</t>
  </si>
  <si>
    <t>ORD0013</t>
  </si>
  <si>
    <t>Central</t>
  </si>
  <si>
    <t>ORD0014</t>
  </si>
  <si>
    <t>Supplier D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</si>
  <si>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</si>
  <si>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</si>
  <si>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</si>
  <si>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</si>
  <si>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</si>
  <si>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</si>
  <si>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</si>
  <si>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</si>
  <si>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</si>
  <si>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</si>
  <si>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</si>
  <si>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</si>
  <si>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</si>
  <si>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</si>
  <si>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</si>
  <si>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</si>
  <si>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</si>
  <si>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</si>
  <si>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</si>
  <si>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</si>
  <si>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</si>
  <si>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</si>
  <si>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</si>
  <si>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</si>
  <si>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</si>
  <si>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</si>
  <si>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</si>
  <si>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</si>
  <si>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</si>
  <si>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</si>
  <si>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</si>
  <si>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</si>
  <si>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</si>
  <si>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</si>
  <si>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</si>
  <si>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</si>
  <si>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</si>
  <si>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</si>
  <si>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</si>
  <si>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</si>
  <si>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</si>
  <si>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</si>
  <si>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</si>
  <si>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</si>
  <si>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</si>
  <si>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</si>
  <si>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</si>
  <si>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</si>
  <si>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</si>
  <si>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</si>
  <si>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</si>
  <si>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</si>
  <si>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</si>
  <si>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</si>
  <si>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</si>
  <si>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</si>
  <si>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</si>
  <si>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</si>
  <si>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</si>
  <si>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</si>
  <si>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</si>
  <si>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</si>
  <si>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</si>
  <si>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</si>
  <si>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</si>
  <si>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</si>
  <si>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</si>
  <si>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</si>
  <si>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</si>
  <si>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</si>
  <si>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</si>
  <si>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</si>
  <si>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</si>
  <si>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</si>
  <si>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</si>
  <si>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</si>
  <si>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</si>
  <si>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</si>
  <si>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</si>
  <si>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</si>
  <si>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</si>
  <si>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</si>
  <si>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</si>
  <si>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</si>
  <si>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</si>
  <si>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</si>
  <si>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</si>
  <si>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</si>
  <si>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</si>
  <si>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</si>
  <si>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</si>
  <si>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</si>
  <si>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</si>
  <si>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</si>
  <si>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</si>
  <si>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</si>
  <si>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</si>
  <si>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</si>
  <si>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</si>
  <si>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</si>
  <si>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</si>
  <si>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</si>
  <si>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</si>
  <si>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</si>
  <si>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</si>
  <si>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</si>
  <si>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</si>
  <si>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</si>
  <si>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</si>
  <si>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</si>
  <si>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</si>
  <si>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</si>
  <si>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</si>
  <si>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</si>
  <si>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</si>
  <si>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</si>
  <si>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</si>
  <si>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</si>
  <si>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</si>
  <si>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</si>
  <si>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</si>
  <si>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</si>
  <si>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</si>
  <si>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</si>
  <si>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</si>
  <si>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</si>
  <si>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</si>
  <si>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</si>
  <si>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</si>
  <si>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</si>
  <si>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</si>
  <si>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</si>
  <si>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</si>
  <si>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</si>
  <si>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</si>
  <si>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</si>
  <si>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</si>
  <si>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</si>
  <si>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</si>
  <si>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</si>
  <si>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</si>
  <si>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</si>
  <si>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</si>
  <si>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</si>
  <si>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</si>
  <si>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</si>
  <si>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</si>
  <si>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</si>
  <si>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</si>
  <si>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</si>
  <si>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</si>
  <si>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</si>
  <si>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</si>
  <si>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</si>
  <si>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</si>
  <si>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</si>
  <si>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</si>
  <si>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</si>
  <si>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</si>
  <si>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</si>
  <si>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</si>
  <si>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</si>
  <si>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</si>
  <si>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</si>
  <si>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</si>
  <si>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</si>
  <si>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</si>
  <si>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</si>
  <si>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</si>
  <si>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</si>
  <si>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</si>
  <si>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</si>
  <si>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</si>
  <si>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</si>
  <si>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</si>
  <si>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</si>
  <si>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</si>
  <si>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</si>
  <si>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</si>
  <si>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</si>
  <si>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</si>
  <si>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</si>
  <si>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</si>
  <si>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</si>
  <si>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</si>
  <si>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</si>
  <si>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</si>
  <si>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</si>
  <si>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</si>
  <si>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</si>
  <si>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</si>
  <si>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</si>
  <si>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</si>
  <si>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</si>
  <si>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</si>
  <si>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</si>
  <si>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</si>
  <si>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</si>
  <si>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</si>
  <si>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</si>
  <si>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</si>
  <si>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</si>
  <si>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</si>
  <si>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</si>
  <si>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</si>
  <si>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</si>
  <si>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</si>
  <si>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</si>
  <si>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</si>
  <si>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</si>
  <si>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</si>
  <si>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</si>
  <si>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</si>
  <si>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</si>
  <si>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</si>
  <si>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</si>
  <si>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</si>
  <si>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</si>
  <si>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</si>
  <si>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</si>
  <si>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</si>
  <si>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</si>
  <si>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</si>
  <si>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</si>
  <si>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</si>
  <si>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</si>
  <si>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</si>
  <si>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</si>
  <si>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</si>
  <si>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</si>
  <si>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</si>
  <si>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</si>
  <si>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</si>
  <si>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</si>
  <si>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</si>
  <si>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</si>
  <si>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</si>
  <si>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</si>
  <si>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</si>
  <si>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</si>
  <si>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</si>
  <si>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</si>
  <si>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</si>
  <si>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</si>
  <si>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</si>
  <si>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</si>
  <si>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</si>
  <si>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</si>
  <si>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</si>
  <si>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</si>
  <si>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</si>
  <si>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</si>
  <si>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</si>
  <si>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</si>
  <si>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</si>
  <si>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</si>
  <si>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</si>
  <si>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</si>
  <si>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</si>
  <si>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</si>
  <si>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</si>
  <si>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</si>
  <si>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</si>
  <si>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</si>
  <si>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</si>
  <si>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</si>
  <si>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</si>
  <si>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</si>
  <si>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</si>
  <si>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</si>
  <si>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</si>
  <si>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</si>
  <si>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</si>
  <si>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</si>
  <si>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</si>
  <si>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</si>
  <si>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</si>
  <si>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</si>
  <si>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</si>
  <si>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</si>
  <si>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</si>
  <si>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</si>
  <si>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</si>
  <si>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</si>
  <si>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</si>
  <si>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</si>
  <si>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</si>
  <si>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</si>
  <si>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</si>
  <si>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</si>
  <si>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</si>
  <si>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</si>
  <si>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</si>
  <si>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</si>
  <si>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</si>
  <si>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</si>
  <si>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</si>
  <si>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</si>
  <si>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</si>
  <si>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</si>
  <si>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</si>
  <si>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</si>
  <si>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</si>
  <si>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</si>
  <si>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</si>
  <si>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</si>
  <si>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</si>
  <si>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</si>
  <si>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</si>
  <si>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</si>
  <si>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</si>
  <si>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</si>
  <si>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</si>
  <si>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</si>
  <si>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</si>
  <si>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</si>
  <si>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</si>
  <si>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</si>
  <si>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</si>
  <si>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</si>
  <si>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</si>
  <si>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</si>
  <si>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</si>
  <si>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</si>
  <si>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</si>
  <si>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</si>
  <si>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</si>
  <si>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</si>
  <si>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</si>
  <si>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</si>
  <si>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</si>
  <si>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</si>
  <si>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</si>
  <si>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</si>
  <si>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</si>
  <si>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</si>
  <si>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</si>
  <si>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</si>
  <si>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</si>
  <si>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</si>
  <si>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</si>
  <si>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</si>
  <si>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</si>
  <si>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</si>
  <si>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</si>
  <si>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</si>
  <si>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</si>
  <si>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</si>
  <si>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</si>
  <si>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</si>
  <si>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</si>
  <si>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</si>
  <si>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</si>
  <si>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</si>
  <si>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</si>
  <si>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</si>
  <si>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</si>
  <si>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</si>
  <si>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</si>
  <si>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</si>
  <si>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</si>
  <si>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</si>
  <si>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</si>
  <si>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</si>
  <si>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</si>
  <si>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</si>
  <si>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</si>
  <si>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</si>
  <si>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</si>
  <si>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</si>
  <si>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</si>
  <si>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</si>
  <si>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</si>
  <si>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</si>
  <si>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</si>
  <si>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</si>
  <si>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</si>
  <si>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</si>
  <si>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</si>
  <si>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</si>
  <si>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</si>
  <si>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</si>
  <si>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</si>
  <si>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</si>
  <si>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</si>
  <si>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</si>
  <si>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</si>
  <si>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</si>
  <si>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</si>
  <si>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</si>
  <si>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</si>
  <si>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</si>
  <si>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</si>
  <si>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</si>
  <si>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</si>
  <si>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</si>
  <si>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</si>
  <si>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</si>
  <si>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</si>
  <si>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</si>
  <si>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</si>
  <si>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</si>
  <si>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</si>
  <si>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</si>
  <si>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</si>
  <si>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</si>
  <si>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</si>
  <si>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</si>
  <si>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</si>
  <si>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</si>
  <si>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</si>
  <si>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</si>
  <si>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</si>
  <si>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</si>
  <si>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</si>
  <si>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</si>
  <si>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</si>
  <si>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</si>
  <si>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</si>
  <si>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</si>
  <si>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</si>
  <si>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</si>
  <si>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</si>
  <si>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</si>
  <si>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</si>
  <si>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</si>
  <si>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</si>
  <si>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</si>
  <si>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</si>
  <si>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</si>
  <si>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</si>
  <si>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</si>
  <si>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</si>
  <si>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</si>
  <si>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</si>
  <si>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</si>
  <si>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</si>
  <si>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</si>
  <si>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</si>
  <si>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</si>
  <si>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</si>
  <si>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</si>
  <si>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</si>
  <si>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</si>
  <si>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</si>
  <si>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</si>
  <si>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</si>
  <si>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</si>
  <si>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</si>
  <si>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</si>
  <si>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</si>
  <si>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</si>
  <si>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</si>
  <si>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</si>
  <si>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</si>
  <si>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</si>
  <si>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</si>
  <si>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</si>
  <si>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</si>
  <si>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</si>
  <si>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</si>
  <si>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</si>
  <si>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</si>
  <si>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</si>
  <si>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</si>
  <si>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</si>
  <si>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</si>
  <si>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</si>
  <si>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</si>
  <si>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</si>
  <si>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</si>
  <si>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</si>
  <si>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</si>
  <si>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</si>
  <si>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</si>
  <si>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</si>
  <si>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</si>
  <si>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</si>
  <si>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</si>
  <si>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</si>
  <si>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</si>
  <si>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</si>
  <si>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</si>
  <si>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</si>
  <si>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</si>
  <si>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</si>
  <si>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Lead Time</t>
  </si>
  <si>
    <t>Profit</t>
  </si>
  <si>
    <t>Total Orders</t>
  </si>
  <si>
    <t>Total Sales</t>
  </si>
  <si>
    <t>Total Profit</t>
  </si>
  <si>
    <t>Average Lead Time</t>
  </si>
  <si>
    <t>Row Labels</t>
  </si>
  <si>
    <t>(blank)</t>
  </si>
  <si>
    <t>Grand Total</t>
  </si>
  <si>
    <t>Sum of Sales</t>
  </si>
  <si>
    <t>Average of Lead Time</t>
  </si>
  <si>
    <t>Count of Order ID</t>
  </si>
  <si>
    <t>Sum of Profit</t>
  </si>
  <si>
    <t>&lt;01-01-2024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</si>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</sst>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[$$-C09]#,##0.00"/>
    <numFmt numFmtId="166" formatCode="0.0"/>
    <numFmt numFmtId="167" formatCode="[$$-C09]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166" fontId="1" fillId="0" borderId="0" xfId="0" applyNumberFormat="1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1" fillId="0" borderId="0" xfId="0" applyNumberFormat="1" applyFont="1"/>
    <xf numFmtId="167" fontId="0" fillId="0" borderId="0" xfId="0" applyNumberForma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V SHAH" refreshedDate="46030.504468402774" createdVersion="8" refreshedVersion="8" minRefreshableVersion="3" recordCount="501" xr:uid="{F6BB9248-3992-4E52-B45C-98CC87D3D87A}">
  <cacheSource type="worksheet">
    <worksheetSource ref="A1:M1048576" sheet="Clean_Data"/>
  </cacheSource>
  <cacheFields count="15">
    <cacheField name="Order ID" numFmtId="0">
      <sharedItems containsBlank="1" count="501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  <s v="ORD0201"/>
        <s v="ORD0202"/>
        <s v="ORD0203"/>
        <s v="ORD0204"/>
        <s v="ORD0205"/>
        <s v="ORD0206"/>
        <s v="ORD0207"/>
        <s v="ORD0208"/>
        <s v="ORD0209"/>
        <s v="ORD0210"/>
        <s v="ORD0211"/>
        <s v="ORD0212"/>
        <s v="ORD0213"/>
        <s v="ORD0214"/>
        <s v="ORD0215"/>
        <s v="ORD0216"/>
        <s v="ORD0217"/>
        <s v="ORD0218"/>
        <s v="ORD0219"/>
        <s v="ORD0220"/>
        <s v="ORD0221"/>
        <s v="ORD0222"/>
        <s v="ORD0223"/>
        <s v="ORD0224"/>
        <s v="ORD0225"/>
        <s v="ORD0226"/>
        <s v="ORD0227"/>
        <s v="ORD0228"/>
        <s v="ORD0229"/>
        <s v="ORD0230"/>
        <s v="ORD0231"/>
        <s v="ORD0232"/>
        <s v="ORD0233"/>
        <s v="ORD0234"/>
        <s v="ORD0235"/>
        <s v="ORD0236"/>
        <s v="ORD0237"/>
        <s v="ORD0238"/>
        <s v="ORD0239"/>
        <s v="ORD0240"/>
        <s v="ORD0241"/>
        <s v="ORD0242"/>
        <s v="ORD0243"/>
        <s v="ORD0244"/>
        <s v="ORD0245"/>
        <s v="ORD0246"/>
        <s v="ORD0247"/>
        <s v="ORD0248"/>
        <s v="ORD0249"/>
        <s v="ORD0250"/>
        <s v="ORD0251"/>
        <s v="ORD0252"/>
        <s v="ORD0253"/>
        <s v="ORD0254"/>
        <s v="ORD0255"/>
        <s v="ORD0256"/>
        <s v="ORD0257"/>
        <s v="ORD0258"/>
        <s v="ORD0259"/>
        <s v="ORD0260"/>
        <s v="ORD0261"/>
        <s v="ORD0262"/>
        <s v="ORD0263"/>
        <s v="ORD0264"/>
        <s v="ORD0265"/>
        <s v="ORD0266"/>
        <s v="ORD0267"/>
        <s v="ORD0268"/>
        <s v="ORD0269"/>
        <s v="ORD0270"/>
        <s v="ORD0271"/>
        <s v="ORD0272"/>
        <s v="ORD0273"/>
        <s v="ORD0274"/>
        <s v="ORD0275"/>
        <s v="ORD0276"/>
        <s v="ORD0277"/>
        <s v="ORD0278"/>
        <s v="ORD0279"/>
        <s v="ORD0280"/>
        <s v="ORD0281"/>
        <s v="ORD0282"/>
        <s v="ORD0283"/>
        <s v="ORD0284"/>
        <s v="ORD0285"/>
        <s v="ORD0286"/>
        <s v="ORD0287"/>
        <s v="ORD0288"/>
        <s v="ORD0289"/>
        <s v="ORD0290"/>
        <s v="ORD0291"/>
        <s v="ORD0292"/>
        <s v="ORD0293"/>
        <s v="ORD0294"/>
        <s v="ORD0295"/>
        <s v="ORD0296"/>
        <s v="ORD0297"/>
        <s v="ORD0298"/>
        <s v="ORD0299"/>
        <s v="ORD0300"/>
        <s v="ORD0301"/>
        <s v="ORD0302"/>
        <s v="ORD0303"/>
        <s v="ORD0304"/>
        <s v="ORD0305"/>
        <s v="ORD0306"/>
        <s v="ORD0307"/>
        <s v="ORD0308"/>
        <s v="ORD0309"/>
        <s v="ORD0310"/>
        <s v="ORD0311"/>
        <s v="ORD0312"/>
        <s v="ORD0313"/>
        <s v="ORD0314"/>
        <s v="ORD0315"/>
        <s v="ORD0316"/>
        <s v="ORD0317"/>
        <s v="ORD0318"/>
        <s v="ORD0319"/>
        <s v="ORD0320"/>
        <s v="ORD0321"/>
        <s v="ORD0322"/>
        <s v="ORD0323"/>
        <s v="ORD0324"/>
        <s v="ORD0325"/>
        <s v="ORD0326"/>
        <s v="ORD0327"/>
        <s v="ORD0328"/>
        <s v="ORD0329"/>
        <s v="ORD0330"/>
        <s v="ORD0331"/>
        <s v="ORD0332"/>
        <s v="ORD0333"/>
        <s v="ORD0334"/>
        <s v="ORD0335"/>
        <s v="ORD0336"/>
        <s v="ORD0337"/>
        <s v="ORD0338"/>
        <s v="ORD0339"/>
        <s v="ORD0340"/>
        <s v="ORD0341"/>
        <s v="ORD0342"/>
        <s v="ORD0343"/>
        <s v="ORD0344"/>
        <s v="ORD0345"/>
        <s v="ORD0346"/>
        <s v="ORD0347"/>
        <s v="ORD0348"/>
        <s v="ORD0349"/>
        <s v="ORD0350"/>
        <s v="ORD0351"/>
        <s v="ORD0352"/>
        <s v="ORD0353"/>
        <s v="ORD0354"/>
        <s v="ORD0355"/>
        <s v="ORD0356"/>
        <s v="ORD0357"/>
        <s v="ORD0358"/>
        <s v="ORD0359"/>
        <s v="ORD0360"/>
        <s v="ORD0361"/>
        <s v="ORD0362"/>
        <s v="ORD0363"/>
        <s v="ORD0364"/>
        <s v="ORD0365"/>
        <s v="ORD0366"/>
        <s v="ORD0367"/>
        <s v="ORD0368"/>
        <s v="ORD0369"/>
        <s v="ORD0370"/>
        <s v="ORD0371"/>
        <s v="ORD0372"/>
        <s v="ORD0373"/>
        <s v="ORD0374"/>
        <s v="ORD0375"/>
        <s v="ORD0376"/>
        <s v="ORD0377"/>
        <s v="ORD0378"/>
        <s v="ORD0379"/>
        <s v="ORD0380"/>
        <s v="ORD0381"/>
        <s v="ORD0382"/>
        <s v="ORD0383"/>
        <s v="ORD0384"/>
        <s v="ORD0385"/>
        <s v="ORD0386"/>
        <s v="ORD0387"/>
        <s v="ORD0388"/>
        <s v="ORD0389"/>
        <s v="ORD0390"/>
        <s v="ORD0391"/>
        <s v="ORD0392"/>
        <s v="ORD0393"/>
        <s v="ORD0394"/>
        <s v="ORD0395"/>
        <s v="ORD0396"/>
        <s v="ORD0397"/>
        <s v="ORD0398"/>
        <s v="ORD0399"/>
        <s v="ORD0400"/>
        <s v="ORD0401"/>
        <s v="ORD0402"/>
        <s v="ORD0403"/>
        <s v="ORD0404"/>
        <s v="ORD0405"/>
        <s v="ORD0406"/>
        <s v="ORD0407"/>
        <s v="ORD0408"/>
        <s v="ORD0409"/>
        <s v="ORD0410"/>
        <s v="ORD0411"/>
        <s v="ORD0412"/>
        <s v="ORD0413"/>
        <s v="ORD0414"/>
        <s v="ORD0415"/>
        <s v="ORD0416"/>
        <s v="ORD0417"/>
        <s v="ORD0418"/>
        <s v="ORD0419"/>
        <s v="ORD0420"/>
        <s v="ORD0421"/>
        <s v="ORD0422"/>
        <s v="ORD0423"/>
        <s v="ORD0424"/>
        <s v="ORD0425"/>
        <s v="ORD0426"/>
        <s v="ORD0427"/>
        <s v="ORD0428"/>
        <s v="ORD0429"/>
        <s v="ORD0430"/>
        <s v="ORD0431"/>
        <s v="ORD0432"/>
        <s v="ORD0433"/>
        <s v="ORD0434"/>
        <s v="ORD0435"/>
        <s v="ORD0436"/>
        <s v="ORD0437"/>
        <s v="ORD0438"/>
        <s v="ORD0439"/>
        <s v="ORD0440"/>
        <s v="ORD0441"/>
        <s v="ORD0442"/>
        <s v="ORD0443"/>
        <s v="ORD0444"/>
        <s v="ORD0445"/>
        <s v="ORD0446"/>
        <s v="ORD0447"/>
        <s v="ORD0448"/>
        <s v="ORD0449"/>
        <s v="ORD0450"/>
        <s v="ORD0451"/>
        <s v="ORD0452"/>
        <s v="ORD0453"/>
        <s v="ORD0454"/>
        <s v="ORD0455"/>
        <s v="ORD0456"/>
        <s v="ORD0457"/>
        <s v="ORD0458"/>
        <s v="ORD0459"/>
        <s v="ORD0460"/>
        <s v="ORD0461"/>
        <s v="ORD0462"/>
        <s v="ORD0463"/>
        <s v="ORD0464"/>
        <s v="ORD0465"/>
        <s v="ORD0466"/>
        <s v="ORD0467"/>
        <s v="ORD0468"/>
        <s v="ORD0469"/>
        <s v="ORD0470"/>
        <s v="ORD0471"/>
        <s v="ORD0472"/>
        <s v="ORD0473"/>
        <s v="ORD0474"/>
        <s v="ORD0475"/>
        <s v="ORD0476"/>
        <s v="ORD0477"/>
        <s v="ORD0478"/>
        <s v="ORD0479"/>
        <s v="ORD0480"/>
        <s v="ORD0481"/>
        <s v="ORD0482"/>
        <s v="ORD0483"/>
        <s v="ORD0484"/>
        <s v="ORD0485"/>
        <s v="ORD0486"/>
        <s v="ORD0487"/>
        <s v="ORD0488"/>
        <s v="ORD0489"/>
        <s v="ORD0490"/>
        <s v="ORD0491"/>
        <s v="ORD0492"/>
        <s v="ORD0493"/>
        <s v="ORD0494"/>
        <s v="ORD0495"/>
        <s v="ORD0496"/>
        <s v="ORD0497"/>
        <s v="ORD0498"/>
        <s v="ORD0499"/>
        <s v="ORD0500"/>
        <m/>
      </sharedItems>
    </cacheField>
    <cacheField name="Order Date" numFmtId="0">
      <sharedItems containsNonDate="0" containsDate="1" containsString="0" containsBlank="1" minDate="2024-01-01T00:00:00" maxDate="2024-12-31T00:00:00" count="278">
        <d v="2024-05-25T00:00:00"/>
        <d v="2024-02-24T00:00:00"/>
        <d v="2024-05-21T00:00:00"/>
        <d v="2024-07-29T00:00:00"/>
        <d v="2024-12-25T00:00:00"/>
        <d v="2024-04-01T00:00:00"/>
        <d v="2024-05-20T00:00:00"/>
        <d v="2024-01-04T00:00:00"/>
        <d v="2024-01-20T00:00:00"/>
        <d v="2024-05-02T00:00:00"/>
        <d v="2024-10-28T00:00:00"/>
        <d v="2024-07-16T00:00:00"/>
        <d v="2024-06-06T00:00:00"/>
        <d v="2024-01-09T00:00:00"/>
        <d v="2024-05-26T00:00:00"/>
        <d v="2024-08-29T00:00:00"/>
        <d v="2024-06-21T00:00:00"/>
        <d v="2024-07-01T00:00:00"/>
        <d v="2024-04-19T00:00:00"/>
        <d v="2024-02-21T00:00:00"/>
        <d v="2024-04-25T00:00:00"/>
        <d v="2024-09-16T00:00:00"/>
        <d v="2024-08-03T00:00:00"/>
        <d v="2024-01-03T00:00:00"/>
        <d v="2024-11-15T00:00:00"/>
        <d v="2024-07-23T00:00:00"/>
        <d v="2024-10-23T00:00:00"/>
        <d v="2024-11-27T00:00:00"/>
        <d v="2024-04-02T00:00:00"/>
        <d v="2024-12-26T00:00:00"/>
        <d v="2024-10-01T00:00:00"/>
        <d v="2024-11-21T00:00:00"/>
        <d v="2024-07-19T00:00:00"/>
        <d v="2024-09-08T00:00:00"/>
        <d v="2024-09-17T00:00:00"/>
        <d v="2024-02-14T00:00:00"/>
        <d v="2024-05-19T00:00:00"/>
        <d v="2024-10-26T00:00:00"/>
        <d v="2024-03-05T00:00:00"/>
        <d v="2024-08-31T00:00:00"/>
        <d v="2024-10-30T00:00:00"/>
        <d v="2024-12-16T00:00:00"/>
        <d v="2024-10-17T00:00:00"/>
        <d v="2024-04-13T00:00:00"/>
        <d v="2024-04-30T00:00:00"/>
        <d v="2024-10-15T00:00:00"/>
        <d v="2024-08-09T00:00:00"/>
        <d v="2024-06-09T00:00:00"/>
        <d v="2024-10-21T00:00:00"/>
        <d v="2024-09-02T00:00:00"/>
        <d v="2024-12-03T00:00:00"/>
        <d v="2024-05-04T00:00:00"/>
        <d v="2024-12-18T00:00:00"/>
        <d v="2024-11-25T00:00:00"/>
        <d v="2024-07-18T00:00:00"/>
        <d v="2024-06-02T00:00:00"/>
        <d v="2024-07-13T00:00:00"/>
        <d v="2024-05-11T00:00:00"/>
        <d v="2024-09-10T00:00:00"/>
        <d v="2024-07-27T00:00:00"/>
        <d v="2024-07-28T00:00:00"/>
        <d v="2024-10-25T00:00:00"/>
        <d v="2024-12-22T00:00:00"/>
        <d v="2024-07-10T00:00:00"/>
        <d v="2024-08-16T00:00:00"/>
        <d v="2024-09-03T00:00:00"/>
        <d v="2024-06-13T00:00:00"/>
        <d v="2024-03-22T00:00:00"/>
        <d v="2024-06-19T00:00:00"/>
        <d v="2024-08-22T00:00:00"/>
        <d v="2024-08-28T00:00:00"/>
        <d v="2024-10-22T00:00:00"/>
        <d v="2024-03-08T00:00:00"/>
        <d v="2024-11-02T00:00:00"/>
        <d v="2024-06-27T00:00:00"/>
        <d v="2024-09-07T00:00:00"/>
        <d v="2024-09-23T00:00:00"/>
        <d v="2024-05-23T00:00:00"/>
        <d v="2024-10-19T00:00:00"/>
        <d v="2024-06-14T00:00:00"/>
        <d v="2024-04-23T00:00:00"/>
        <d v="2024-09-22T00:00:00"/>
        <d v="2024-07-21T00:00:00"/>
        <d v="2024-12-28T00:00:00"/>
        <d v="2024-12-21T00:00:00"/>
        <d v="2024-06-30T00:00:00"/>
        <d v="2024-02-05T00:00:00"/>
        <d v="2024-03-15T00:00:00"/>
        <d v="2024-12-30T00:00:00"/>
        <d v="2024-07-04T00:00:00"/>
        <d v="2024-01-10T00:00:00"/>
        <d v="2024-11-11T00:00:00"/>
        <d v="2024-03-09T00:00:00"/>
        <d v="2024-05-18T00:00:00"/>
        <d v="2024-08-08T00:00:00"/>
        <d v="2024-06-15T00:00:00"/>
        <d v="2024-04-20T00:00:00"/>
        <d v="2024-01-23T00:00:00"/>
        <d v="2024-02-22T00:00:00"/>
        <d v="2024-04-03T00:00:00"/>
        <d v="2024-03-04T00:00:00"/>
        <d v="2024-10-31T00:00:00"/>
        <d v="2024-09-06T00:00:00"/>
        <d v="2024-05-06T00:00:00"/>
        <d v="2024-11-09T00:00:00"/>
        <d v="2024-01-26T00:00:00"/>
        <d v="2024-03-24T00:00:00"/>
        <d v="2024-09-04T00:00:00"/>
        <d v="2024-01-17T00:00:00"/>
        <d v="2024-07-09T00:00:00"/>
        <d v="2024-06-10T00:00:00"/>
        <d v="2024-11-04T00:00:00"/>
        <d v="2024-12-15T00:00:00"/>
        <d v="2024-09-13T00:00:00"/>
        <d v="2024-12-12T00:00:00"/>
        <d v="2024-05-13T00:00:00"/>
        <d v="2024-12-14T00:00:00"/>
        <d v="2024-07-06T00:00:00"/>
        <d v="2024-08-25T00:00:00"/>
        <d v="2024-02-23T00:00:00"/>
        <d v="2024-06-20T00:00:00"/>
        <d v="2024-11-29T00:00:00"/>
        <d v="2024-04-11T00:00:00"/>
        <d v="2024-11-10T00:00:00"/>
        <d v="2024-12-06T00:00:00"/>
        <d v="2024-08-30T00:00:00"/>
        <d v="2024-08-13T00:00:00"/>
        <d v="2024-04-22T00:00:00"/>
        <d v="2024-09-25T00:00:00"/>
        <d v="2024-12-11T00:00:00"/>
        <d v="2024-05-15T00:00:00"/>
        <d v="2024-08-07T00:00:00"/>
        <d v="2024-03-28T00:00:00"/>
        <d v="2024-03-01T00:00:00"/>
        <d v="2024-02-18T00:00:00"/>
        <d v="2024-06-18T00:00:00"/>
        <d v="2024-04-10T00:00:00"/>
        <d v="2024-03-02T00:00:00"/>
        <d v="2024-07-14T00:00:00"/>
        <d v="2024-01-12T00:00:00"/>
        <d v="2024-08-14T00:00:00"/>
        <d v="2024-02-29T00:00:00"/>
        <d v="2024-10-24T00:00:00"/>
        <d v="2024-11-18T00:00:00"/>
        <d v="2024-06-11T00:00:00"/>
        <d v="2024-07-11T00:00:00"/>
        <d v="2024-05-27T00:00:00"/>
        <d v="2024-10-04T00:00:00"/>
        <d v="2024-03-23T00:00:00"/>
        <d v="2024-03-30T00:00:00"/>
        <d v="2024-06-07T00:00:00"/>
        <d v="2024-07-08T00:00:00"/>
        <d v="2024-07-26T00:00:00"/>
        <d v="2024-07-07T00:00:00"/>
        <d v="2024-06-16T00:00:00"/>
        <d v="2024-06-22T00:00:00"/>
        <d v="2024-09-14T00:00:00"/>
        <d v="2024-08-05T00:00:00"/>
        <d v="2024-03-26T00:00:00"/>
        <d v="2024-11-28T00:00:00"/>
        <d v="2024-01-11T00:00:00"/>
        <d v="2024-11-26T00:00:00"/>
        <d v="2024-01-14T00:00:00"/>
        <d v="2024-03-07T00:00:00"/>
        <d v="2024-09-29T00:00:00"/>
        <d v="2024-01-01T00:00:00"/>
        <d v="2024-09-27T00:00:00"/>
        <d v="2024-10-03T00:00:00"/>
        <d v="2024-09-15T00:00:00"/>
        <d v="2024-11-03T00:00:00"/>
        <d v="2024-06-25T00:00:00"/>
        <d v="2024-03-27T00:00:00"/>
        <d v="2024-03-19T00:00:00"/>
        <d v="2024-06-24T00:00:00"/>
        <d v="2024-06-28T00:00:00"/>
        <d v="2024-01-28T00:00:00"/>
        <d v="2024-03-25T00:00:00"/>
        <d v="2024-08-12T00:00:00"/>
        <d v="2024-01-25T00:00:00"/>
        <d v="2024-06-04T00:00:00"/>
        <d v="2024-07-25T00:00:00"/>
        <d v="2024-04-12T00:00:00"/>
        <d v="2024-12-27T00:00:00"/>
        <d v="2024-04-21T00:00:00"/>
        <d v="2024-04-09T00:00:00"/>
        <d v="2024-05-31T00:00:00"/>
        <d v="2024-01-31T00:00:00"/>
        <d v="2024-08-15T00:00:00"/>
        <d v="2024-03-10T00:00:00"/>
        <d v="2024-10-06T00:00:00"/>
        <d v="2024-11-05T00:00:00"/>
        <d v="2024-07-31T00:00:00"/>
        <d v="2024-01-27T00:00:00"/>
        <d v="2024-10-07T00:00:00"/>
        <d v="2024-02-17T00:00:00"/>
        <d v="2024-06-23T00:00:00"/>
        <d v="2024-11-17T00:00:00"/>
        <d v="2024-12-17T00:00:00"/>
        <d v="2024-06-08T00:00:00"/>
        <d v="2024-10-08T00:00:00"/>
        <d v="2024-05-29T00:00:00"/>
        <d v="2024-03-31T00:00:00"/>
        <d v="2024-12-29T00:00:00"/>
        <d v="2024-01-19T00:00:00"/>
        <d v="2024-11-01T00:00:00"/>
        <d v="2024-02-16T00:00:00"/>
        <d v="2024-07-20T00:00:00"/>
        <d v="2024-12-24T00:00:00"/>
        <d v="2024-02-28T00:00:00"/>
        <d v="2024-10-12T00:00:00"/>
        <d v="2024-03-12T00:00:00"/>
        <d v="2024-04-04T00:00:00"/>
        <d v="2024-06-29T00:00:00"/>
        <d v="2024-07-02T00:00:00"/>
        <d v="2024-12-09T00:00:00"/>
        <d v="2024-02-12T00:00:00"/>
        <d v="2024-12-23T00:00:00"/>
        <d v="2024-04-14T00:00:00"/>
        <d v="2024-08-11T00:00:00"/>
        <d v="2024-08-02T00:00:00"/>
        <d v="2024-04-17T00:00:00"/>
        <d v="2024-12-01T00:00:00"/>
        <d v="2024-10-16T00:00:00"/>
        <d v="2024-08-21T00:00:00"/>
        <d v="2024-11-13T00:00:00"/>
        <d v="2024-10-14T00:00:00"/>
        <d v="2024-09-28T00:00:00"/>
        <d v="2024-05-14T00:00:00"/>
        <d v="2024-02-13T00:00:00"/>
        <d v="2024-09-11T00:00:00"/>
        <d v="2024-05-28T00:00:00"/>
        <d v="2024-12-08T00:00:00"/>
        <d v="2024-09-20T00:00:00"/>
        <d v="2024-12-20T00:00:00"/>
        <d v="2024-12-07T00:00:00"/>
        <d v="2024-02-06T00:00:00"/>
        <d v="2024-10-13T00:00:00"/>
        <d v="2024-01-16T00:00:00"/>
        <d v="2024-10-02T00:00:00"/>
        <d v="2024-03-16T00:00:00"/>
        <d v="2024-10-09T00:00:00"/>
        <d v="2024-01-13T00:00:00"/>
        <d v="2024-04-15T00:00:00"/>
        <d v="2024-03-11T00:00:00"/>
        <d v="2024-07-24T00:00:00"/>
        <d v="2024-11-12T00:00:00"/>
        <d v="2024-04-28T00:00:00"/>
        <d v="2024-11-06T00:00:00"/>
        <d v="2024-08-17T00:00:00"/>
        <d v="2024-09-18T00:00:00"/>
        <d v="2024-09-01T00:00:00"/>
        <d v="2024-10-10T00:00:00"/>
        <d v="2024-07-05T00:00:00"/>
        <d v="2024-11-07T00:00:00"/>
        <d v="2024-01-29T00:00:00"/>
        <d v="2024-11-23T00:00:00"/>
        <d v="2024-07-17T00:00:00"/>
        <d v="2024-02-25T00:00:00"/>
        <d v="2024-05-05T00:00:00"/>
        <d v="2024-09-19T00:00:00"/>
        <d v="2024-12-05T00:00:00"/>
        <d v="2024-12-13T00:00:00"/>
        <d v="2024-08-01T00:00:00"/>
        <d v="2024-09-05T00:00:00"/>
        <d v="2024-06-17T00:00:00"/>
        <d v="2024-09-09T00:00:00"/>
        <d v="2024-10-20T00:00:00"/>
        <d v="2024-09-30T00:00:00"/>
        <d v="2024-11-19T00:00:00"/>
        <d v="2024-02-27T00:00:00"/>
        <d v="2024-09-26T00:00:00"/>
        <d v="2024-09-21T00:00:00"/>
        <d v="2024-09-12T00:00:00"/>
        <d v="2024-04-29T00:00:00"/>
        <d v="2024-12-10T00:00:00"/>
        <d v="2024-03-13T00:00:00"/>
        <d v="2024-10-27T00:00:00"/>
        <m/>
      </sharedItems>
      <fieldGroup par="14"/>
    </cacheField>
    <cacheField name="Ship Date" numFmtId="0">
      <sharedItems containsNonDate="0" containsDate="1" containsString="0" containsBlank="1" minDate="2024-01-03T00:00:00" maxDate="2025-01-10T00:00:00"/>
    </cacheField>
    <cacheField name="Lead Time" numFmtId="166">
      <sharedItems containsString="0" containsBlank="1" containsNumber="1" containsInteger="1" minValue="2" maxValue="10"/>
    </cacheField>
    <cacheField name="Supplier" numFmtId="0">
      <sharedItems containsBlank="1" count="5">
        <s v="Supplier C"/>
        <s v="Supplier B"/>
        <s v="Supplier A"/>
        <s v="Supplier D"/>
        <m/>
      </sharedItems>
    </cacheField>
    <cacheField name="Product" numFmtId="0">
      <sharedItems containsBlank="1"/>
    </cacheField>
    <cacheField name="Category" numFmtId="0">
      <sharedItems containsBlank="1"/>
    </cacheField>
    <cacheField name="Region" numFmtId="0">
      <sharedItems containsBlank="1" count="5">
        <s v="South"/>
        <s v="West"/>
        <s v="East"/>
        <s v="Central"/>
        <m/>
      </sharedItems>
    </cacheField>
    <cacheField name="Quantity" numFmtId="0">
      <sharedItems containsString="0" containsBlank="1" containsNumber="1" containsInteger="1" minValue="1" maxValue="10"/>
    </cacheField>
    <cacheField name="Sales" numFmtId="165">
      <sharedItems containsString="0" containsBlank="1" containsNumber="1" minValue="100.63" maxValue="1995.61"/>
    </cacheField>
    <cacheField name="Cost" numFmtId="165">
      <sharedItems containsString="0" containsBlank="1" containsNumber="1" minValue="70.239999999999995" maxValue="1656.78"/>
    </cacheField>
    <cacheField name="Profit" numFmtId="165">
      <sharedItems containsString="0" containsBlank="1" containsNumber="1" minValue="18.959999999999994" maxValue="747.2"/>
    </cacheField>
    <cacheField name="Ship Mode" numFmtId="0">
      <sharedItems containsBlank="1"/>
    </cacheField>
    <cacheField name="Days (Order Date)" numFmtId="0" databaseField="0">
      <fieldGroup base="1">
        <rangePr groupBy="days" startDate="2024-01-01T00:00:00" endDate="2024-12-31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24"/>
        </groupItems>
      </fieldGroup>
    </cacheField>
    <cacheField name="Months (Order Date)" numFmtId="0" databaseField="0">
      <fieldGroup base="1">
        <rangePr groupBy="months" startDate="2024-01-01T00:00:00" endDate="2024-12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x v="0"/>
    <x v="0"/>
    <d v="2024-05-28T00:00:00"/>
    <n v="3"/>
    <x v="0"/>
    <s v="Router"/>
    <s v="Accessories"/>
    <x v="0"/>
    <n v="1"/>
    <n v="489.65"/>
    <n v="384.44"/>
    <n v="105.20999999999998"/>
    <s v="Same Day"/>
  </r>
  <r>
    <x v="1"/>
    <x v="1"/>
    <d v="2024-03-04T00:00:00"/>
    <n v="9"/>
    <x v="1"/>
    <s v="Router"/>
    <s v="Electronics"/>
    <x v="1"/>
    <n v="6"/>
    <n v="528.55999999999995"/>
    <n v="351.89"/>
    <n v="176.66999999999996"/>
    <s v="Express"/>
  </r>
  <r>
    <x v="2"/>
    <x v="2"/>
    <d v="2024-05-25T00:00:00"/>
    <n v="4"/>
    <x v="2"/>
    <s v="Printer"/>
    <s v="Accessories"/>
    <x v="2"/>
    <n v="2"/>
    <n v="159.43"/>
    <n v="113.65"/>
    <n v="45.78"/>
    <s v="Same Day"/>
  </r>
  <r>
    <x v="3"/>
    <x v="3"/>
    <d v="2024-08-04T00:00:00"/>
    <n v="6"/>
    <x v="2"/>
    <s v="Monitor"/>
    <s v="Accessories"/>
    <x v="0"/>
    <n v="1"/>
    <n v="924.41"/>
    <n v="566.88"/>
    <n v="357.53"/>
    <s v="Same Day"/>
  </r>
  <r>
    <x v="4"/>
    <x v="4"/>
    <d v="2025-01-04T00:00:00"/>
    <n v="10"/>
    <x v="0"/>
    <s v="Monitor"/>
    <s v="Accessories"/>
    <x v="2"/>
    <n v="6"/>
    <n v="1656.49"/>
    <n v="1032.26"/>
    <n v="624.23"/>
    <s v="Standard"/>
  </r>
  <r>
    <x v="5"/>
    <x v="5"/>
    <d v="2024-04-09T00:00:00"/>
    <n v="8"/>
    <x v="1"/>
    <s v="Laptop"/>
    <s v="Electronics"/>
    <x v="0"/>
    <n v="1"/>
    <n v="1386.43"/>
    <n v="1043.47"/>
    <n v="342.96000000000004"/>
    <s v="Express"/>
  </r>
  <r>
    <x v="6"/>
    <x v="6"/>
    <d v="2024-05-23T00:00:00"/>
    <n v="3"/>
    <x v="2"/>
    <s v="Phone"/>
    <s v="Electronics"/>
    <x v="0"/>
    <n v="10"/>
    <n v="1345.45"/>
    <n v="1025.8499999999999"/>
    <n v="319.60000000000014"/>
    <s v="Standard"/>
  </r>
  <r>
    <x v="7"/>
    <x v="7"/>
    <d v="2024-01-14T00:00:00"/>
    <n v="10"/>
    <x v="0"/>
    <s v="Laptop"/>
    <s v="Electronics"/>
    <x v="2"/>
    <n v="5"/>
    <n v="618.49"/>
    <n v="452.33"/>
    <n v="166.16000000000003"/>
    <s v="Same Day"/>
  </r>
  <r>
    <x v="8"/>
    <x v="8"/>
    <d v="2024-01-28T00:00:00"/>
    <n v="8"/>
    <x v="1"/>
    <s v="Phone"/>
    <s v="Electronics"/>
    <x v="1"/>
    <n v="7"/>
    <n v="892.87"/>
    <n v="736.15"/>
    <n v="156.72000000000003"/>
    <s v="Standard"/>
  </r>
  <r>
    <x v="9"/>
    <x v="9"/>
    <d v="2024-05-11T00:00:00"/>
    <n v="9"/>
    <x v="0"/>
    <s v="Phone"/>
    <s v="Electronics"/>
    <x v="0"/>
    <n v="2"/>
    <n v="1971.6"/>
    <n v="1433.78"/>
    <n v="537.81999999999994"/>
    <s v="Standard"/>
  </r>
  <r>
    <x v="10"/>
    <x v="10"/>
    <d v="2024-11-03T00:00:00"/>
    <n v="6"/>
    <x v="0"/>
    <s v="Phone"/>
    <s v="Accessories"/>
    <x v="2"/>
    <n v="1"/>
    <n v="1810.13"/>
    <n v="1252.1099999999999"/>
    <n v="558.02000000000021"/>
    <s v="Same Day"/>
  </r>
  <r>
    <x v="11"/>
    <x v="11"/>
    <d v="2024-07-19T00:00:00"/>
    <n v="3"/>
    <x v="0"/>
    <s v="Router"/>
    <s v="Electronics"/>
    <x v="0"/>
    <n v="6"/>
    <n v="577.03"/>
    <n v="435.03"/>
    <n v="142"/>
    <s v="Same Day"/>
  </r>
  <r>
    <x v="12"/>
    <x v="12"/>
    <d v="2024-06-14T00:00:00"/>
    <n v="8"/>
    <x v="2"/>
    <s v="Router"/>
    <s v="Electronics"/>
    <x v="3"/>
    <n v="4"/>
    <n v="1801.85"/>
    <n v="1287.72"/>
    <n v="514.12999999999988"/>
    <s v="Express"/>
  </r>
  <r>
    <x v="13"/>
    <x v="13"/>
    <d v="2024-01-18T00:00:00"/>
    <n v="9"/>
    <x v="3"/>
    <s v="Printer"/>
    <s v="Accessories"/>
    <x v="3"/>
    <n v="7"/>
    <n v="1015.45"/>
    <n v="858.11"/>
    <n v="157.34000000000003"/>
    <s v="Same Day"/>
  </r>
  <r>
    <x v="14"/>
    <x v="14"/>
    <d v="2024-06-03T00:00:00"/>
    <n v="8"/>
    <x v="1"/>
    <s v="Laptop"/>
    <s v="Electronics"/>
    <x v="2"/>
    <n v="9"/>
    <n v="234.72"/>
    <n v="176.02"/>
    <n v="58.699999999999989"/>
    <s v="Express"/>
  </r>
  <r>
    <x v="15"/>
    <x v="15"/>
    <d v="2024-09-02T00:00:00"/>
    <n v="4"/>
    <x v="1"/>
    <s v="Monitor"/>
    <s v="Electronics"/>
    <x v="0"/>
    <n v="8"/>
    <n v="1245.04"/>
    <n v="747.98"/>
    <n v="497.05999999999995"/>
    <s v="Standard"/>
  </r>
  <r>
    <x v="16"/>
    <x v="16"/>
    <d v="2024-06-24T00:00:00"/>
    <n v="3"/>
    <x v="1"/>
    <s v="Phone"/>
    <s v="Accessories"/>
    <x v="0"/>
    <n v="1"/>
    <n v="336.68"/>
    <n v="256.89999999999998"/>
    <n v="79.78000000000003"/>
    <s v="Same Day"/>
  </r>
  <r>
    <x v="17"/>
    <x v="17"/>
    <d v="2024-07-10T00:00:00"/>
    <n v="9"/>
    <x v="0"/>
    <s v="Laptop"/>
    <s v="Accessories"/>
    <x v="0"/>
    <n v="2"/>
    <n v="591.14"/>
    <n v="411.92"/>
    <n v="179.21999999999997"/>
    <s v="Same Day"/>
  </r>
  <r>
    <x v="18"/>
    <x v="18"/>
    <d v="2024-04-29T00:00:00"/>
    <n v="10"/>
    <x v="3"/>
    <s v="Router"/>
    <s v="Accessories"/>
    <x v="3"/>
    <n v="7"/>
    <n v="823.48"/>
    <n v="663.43"/>
    <n v="160.05000000000007"/>
    <s v="Same Day"/>
  </r>
  <r>
    <x v="19"/>
    <x v="19"/>
    <d v="2024-02-24T00:00:00"/>
    <n v="3"/>
    <x v="3"/>
    <s v="Printer"/>
    <s v="Electronics"/>
    <x v="2"/>
    <n v="9"/>
    <n v="1280.68"/>
    <n v="860.81"/>
    <n v="419.87000000000012"/>
    <s v="Same Day"/>
  </r>
  <r>
    <x v="20"/>
    <x v="20"/>
    <d v="2024-04-30T00:00:00"/>
    <n v="5"/>
    <x v="3"/>
    <s v="Phone"/>
    <s v="Accessories"/>
    <x v="1"/>
    <n v="8"/>
    <n v="1942.51"/>
    <n v="1432.97"/>
    <n v="509.53999999999996"/>
    <s v="Standard"/>
  </r>
  <r>
    <x v="21"/>
    <x v="21"/>
    <d v="2024-09-25T00:00:00"/>
    <n v="9"/>
    <x v="0"/>
    <s v="Monitor"/>
    <s v="Accessories"/>
    <x v="1"/>
    <n v="9"/>
    <n v="203.99"/>
    <n v="166.42"/>
    <n v="37.570000000000022"/>
    <s v="Express"/>
  </r>
  <r>
    <x v="22"/>
    <x v="22"/>
    <d v="2024-08-09T00:00:00"/>
    <n v="6"/>
    <x v="1"/>
    <s v="Laptop"/>
    <s v="Electronics"/>
    <x v="2"/>
    <n v="10"/>
    <n v="1127.27"/>
    <n v="762.44"/>
    <n v="364.82999999999993"/>
    <s v="Standard"/>
  </r>
  <r>
    <x v="23"/>
    <x v="23"/>
    <d v="2024-01-07T00:00:00"/>
    <n v="4"/>
    <x v="0"/>
    <s v="Laptop"/>
    <s v="Accessories"/>
    <x v="2"/>
    <n v="2"/>
    <n v="1708.66"/>
    <n v="1274.44"/>
    <n v="434.22"/>
    <s v="Standard"/>
  </r>
  <r>
    <x v="24"/>
    <x v="20"/>
    <d v="2024-04-30T00:00:00"/>
    <n v="5"/>
    <x v="0"/>
    <s v="Phone"/>
    <s v="Accessories"/>
    <x v="2"/>
    <n v="7"/>
    <n v="1522.9"/>
    <n v="972.27"/>
    <n v="550.63000000000011"/>
    <s v="Express"/>
  </r>
  <r>
    <x v="25"/>
    <x v="24"/>
    <d v="2024-11-24T00:00:00"/>
    <n v="9"/>
    <x v="2"/>
    <s v="Router"/>
    <s v="Electronics"/>
    <x v="3"/>
    <n v="10"/>
    <n v="727.93"/>
    <n v="563.57000000000005"/>
    <n v="164.3599999999999"/>
    <s v="Express"/>
  </r>
  <r>
    <x v="26"/>
    <x v="25"/>
    <d v="2024-07-28T00:00:00"/>
    <n v="5"/>
    <x v="3"/>
    <s v="Printer"/>
    <s v="Electronics"/>
    <x v="1"/>
    <n v="2"/>
    <n v="1596.3"/>
    <n v="1071.57"/>
    <n v="524.73"/>
    <s v="Express"/>
  </r>
  <r>
    <x v="27"/>
    <x v="26"/>
    <d v="2024-10-29T00:00:00"/>
    <n v="6"/>
    <x v="1"/>
    <s v="Printer"/>
    <s v="Accessories"/>
    <x v="0"/>
    <n v="2"/>
    <n v="1835.39"/>
    <n v="1315.22"/>
    <n v="520.17000000000007"/>
    <s v="Standard"/>
  </r>
  <r>
    <x v="28"/>
    <x v="27"/>
    <d v="2024-12-07T00:00:00"/>
    <n v="10"/>
    <x v="1"/>
    <s v="Laptop"/>
    <s v="Accessories"/>
    <x v="1"/>
    <n v="9"/>
    <n v="391.75"/>
    <n v="262.3"/>
    <n v="129.44999999999999"/>
    <s v="Same Day"/>
  </r>
  <r>
    <x v="29"/>
    <x v="28"/>
    <d v="2024-04-07T00:00:00"/>
    <n v="5"/>
    <x v="1"/>
    <s v="Printer"/>
    <s v="Electronics"/>
    <x v="2"/>
    <n v="8"/>
    <n v="443.68"/>
    <n v="371.2"/>
    <n v="72.480000000000018"/>
    <s v="Express"/>
  </r>
  <r>
    <x v="30"/>
    <x v="29"/>
    <d v="2024-12-31T00:00:00"/>
    <n v="5"/>
    <x v="1"/>
    <s v="Laptop"/>
    <s v="Accessories"/>
    <x v="2"/>
    <n v="9"/>
    <n v="467.19"/>
    <n v="367.39"/>
    <n v="99.800000000000011"/>
    <s v="Standard"/>
  </r>
  <r>
    <x v="31"/>
    <x v="30"/>
    <d v="2024-10-11T00:00:00"/>
    <n v="10"/>
    <x v="2"/>
    <s v="Phone"/>
    <s v="Electronics"/>
    <x v="3"/>
    <n v="1"/>
    <n v="607.20000000000005"/>
    <n v="404.97"/>
    <n v="202.23000000000002"/>
    <s v="Standard"/>
  </r>
  <r>
    <x v="32"/>
    <x v="31"/>
    <d v="2024-11-23T00:00:00"/>
    <n v="2"/>
    <x v="0"/>
    <s v="Laptop"/>
    <s v="Accessories"/>
    <x v="1"/>
    <n v="2"/>
    <n v="1887.19"/>
    <n v="1287.95"/>
    <n v="599.24"/>
    <s v="Express"/>
  </r>
  <r>
    <x v="33"/>
    <x v="32"/>
    <d v="2024-07-24T00:00:00"/>
    <n v="5"/>
    <x v="2"/>
    <s v="Phone"/>
    <s v="Electronics"/>
    <x v="3"/>
    <n v="6"/>
    <n v="1275.1500000000001"/>
    <n v="834.66"/>
    <n v="440.49000000000012"/>
    <s v="Express"/>
  </r>
  <r>
    <x v="34"/>
    <x v="33"/>
    <d v="2024-09-17T00:00:00"/>
    <n v="9"/>
    <x v="1"/>
    <s v="Phone"/>
    <s v="Electronics"/>
    <x v="1"/>
    <n v="7"/>
    <n v="801.81"/>
    <n v="644.76"/>
    <n v="157.04999999999995"/>
    <s v="Same Day"/>
  </r>
  <r>
    <x v="35"/>
    <x v="34"/>
    <d v="2024-09-24T00:00:00"/>
    <n v="7"/>
    <x v="3"/>
    <s v="Printer"/>
    <s v="Electronics"/>
    <x v="0"/>
    <n v="4"/>
    <n v="1832.11"/>
    <n v="1532.17"/>
    <n v="299.93999999999983"/>
    <s v="Standard"/>
  </r>
  <r>
    <x v="36"/>
    <x v="35"/>
    <d v="2024-02-19T00:00:00"/>
    <n v="5"/>
    <x v="0"/>
    <s v="Laptop"/>
    <s v="Accessories"/>
    <x v="2"/>
    <n v="5"/>
    <n v="1442.27"/>
    <n v="1074.1199999999999"/>
    <n v="368.15000000000009"/>
    <s v="Express"/>
  </r>
  <r>
    <x v="37"/>
    <x v="36"/>
    <d v="2024-05-22T00:00:00"/>
    <n v="3"/>
    <x v="0"/>
    <s v="Router"/>
    <s v="Accessories"/>
    <x v="0"/>
    <n v="9"/>
    <n v="794.96"/>
    <n v="499.8"/>
    <n v="295.16000000000003"/>
    <s v="Express"/>
  </r>
  <r>
    <x v="38"/>
    <x v="37"/>
    <d v="2024-11-04T00:00:00"/>
    <n v="9"/>
    <x v="3"/>
    <s v="Monitor"/>
    <s v="Accessories"/>
    <x v="1"/>
    <n v="9"/>
    <n v="412.19"/>
    <n v="257.32"/>
    <n v="154.87"/>
    <s v="Standard"/>
  </r>
  <r>
    <x v="39"/>
    <x v="38"/>
    <d v="2024-03-15T00:00:00"/>
    <n v="10"/>
    <x v="0"/>
    <s v="Laptop"/>
    <s v="Accessories"/>
    <x v="3"/>
    <n v="2"/>
    <n v="1098.01"/>
    <n v="927.73"/>
    <n v="170.27999999999997"/>
    <s v="Standard"/>
  </r>
  <r>
    <x v="40"/>
    <x v="39"/>
    <d v="2024-09-05T00:00:00"/>
    <n v="5"/>
    <x v="3"/>
    <s v="Laptop"/>
    <s v="Accessories"/>
    <x v="3"/>
    <n v="10"/>
    <n v="976.79"/>
    <n v="677.18"/>
    <n v="299.61"/>
    <s v="Same Day"/>
  </r>
  <r>
    <x v="41"/>
    <x v="40"/>
    <d v="2024-11-02T00:00:00"/>
    <n v="3"/>
    <x v="0"/>
    <s v="Laptop"/>
    <s v="Electronics"/>
    <x v="3"/>
    <n v="3"/>
    <n v="1248.68"/>
    <n v="769.8"/>
    <n v="478.88000000000011"/>
    <s v="Standard"/>
  </r>
  <r>
    <x v="42"/>
    <x v="41"/>
    <d v="2024-12-26T00:00:00"/>
    <n v="10"/>
    <x v="2"/>
    <s v="Laptop"/>
    <s v="Accessories"/>
    <x v="2"/>
    <n v="2"/>
    <n v="1043.45"/>
    <n v="666.51"/>
    <n v="376.94000000000005"/>
    <s v="Express"/>
  </r>
  <r>
    <x v="43"/>
    <x v="42"/>
    <d v="2024-10-24T00:00:00"/>
    <n v="7"/>
    <x v="1"/>
    <s v="Phone"/>
    <s v="Accessories"/>
    <x v="1"/>
    <n v="9"/>
    <n v="132.47"/>
    <n v="100.65"/>
    <n v="31.819999999999993"/>
    <s v="Express"/>
  </r>
  <r>
    <x v="44"/>
    <x v="43"/>
    <d v="2024-04-20T00:00:00"/>
    <n v="7"/>
    <x v="3"/>
    <s v="Laptop"/>
    <s v="Accessories"/>
    <x v="1"/>
    <n v="9"/>
    <n v="1446.05"/>
    <n v="891.52"/>
    <n v="554.53"/>
    <s v="Express"/>
  </r>
  <r>
    <x v="45"/>
    <x v="44"/>
    <d v="2024-05-10T00:00:00"/>
    <n v="10"/>
    <x v="3"/>
    <s v="Router"/>
    <s v="Electronics"/>
    <x v="2"/>
    <n v="1"/>
    <n v="1724.56"/>
    <n v="1216.56"/>
    <n v="508"/>
    <s v="Express"/>
  </r>
  <r>
    <x v="46"/>
    <x v="45"/>
    <d v="2024-10-23T00:00:00"/>
    <n v="8"/>
    <x v="0"/>
    <s v="Printer"/>
    <s v="Electronics"/>
    <x v="3"/>
    <n v="7"/>
    <n v="188.31"/>
    <n v="138.88999999999999"/>
    <n v="49.420000000000016"/>
    <s v="Same Day"/>
  </r>
  <r>
    <x v="47"/>
    <x v="18"/>
    <d v="2024-04-23T00:00:00"/>
    <n v="4"/>
    <x v="2"/>
    <s v="Printer"/>
    <s v="Electronics"/>
    <x v="2"/>
    <n v="8"/>
    <n v="889.51"/>
    <n v="682.16"/>
    <n v="207.35000000000002"/>
    <s v="Same Day"/>
  </r>
  <r>
    <x v="48"/>
    <x v="46"/>
    <d v="2024-08-12T00:00:00"/>
    <n v="3"/>
    <x v="3"/>
    <s v="Router"/>
    <s v="Electronics"/>
    <x v="1"/>
    <n v="6"/>
    <n v="1479.76"/>
    <n v="1247.54"/>
    <n v="232.22000000000003"/>
    <s v="Express"/>
  </r>
  <r>
    <x v="49"/>
    <x v="47"/>
    <d v="2024-06-13T00:00:00"/>
    <n v="4"/>
    <x v="3"/>
    <s v="Phone"/>
    <s v="Accessories"/>
    <x v="3"/>
    <n v="3"/>
    <n v="661.38"/>
    <n v="557.55999999999995"/>
    <n v="103.82000000000005"/>
    <s v="Express"/>
  </r>
  <r>
    <x v="50"/>
    <x v="48"/>
    <d v="2024-10-27T00:00:00"/>
    <n v="6"/>
    <x v="1"/>
    <s v="Router"/>
    <s v="Electronics"/>
    <x v="3"/>
    <n v="7"/>
    <n v="1784.81"/>
    <n v="1472.59"/>
    <n v="312.22000000000003"/>
    <s v="Standard"/>
  </r>
  <r>
    <x v="51"/>
    <x v="49"/>
    <d v="2024-09-05T00:00:00"/>
    <n v="3"/>
    <x v="1"/>
    <s v="Printer"/>
    <s v="Accessories"/>
    <x v="1"/>
    <n v="2"/>
    <n v="1278.18"/>
    <n v="927.73"/>
    <n v="350.45000000000005"/>
    <s v="Express"/>
  </r>
  <r>
    <x v="52"/>
    <x v="50"/>
    <d v="2024-12-08T00:00:00"/>
    <n v="5"/>
    <x v="2"/>
    <s v="Monitor"/>
    <s v="Accessories"/>
    <x v="0"/>
    <n v="10"/>
    <n v="459.14"/>
    <n v="341.04"/>
    <n v="118.09999999999997"/>
    <s v="Express"/>
  </r>
  <r>
    <x v="53"/>
    <x v="51"/>
    <d v="2024-05-09T00:00:00"/>
    <n v="5"/>
    <x v="0"/>
    <s v="Laptop"/>
    <s v="Electronics"/>
    <x v="2"/>
    <n v="2"/>
    <n v="878.85"/>
    <n v="599.23"/>
    <n v="279.62"/>
    <s v="Standard"/>
  </r>
  <r>
    <x v="54"/>
    <x v="52"/>
    <d v="2024-12-26T00:00:00"/>
    <n v="8"/>
    <x v="2"/>
    <s v="Monitor"/>
    <s v="Electronics"/>
    <x v="2"/>
    <n v="10"/>
    <n v="268.82"/>
    <n v="200.98"/>
    <n v="67.84"/>
    <s v="Same Day"/>
  </r>
  <r>
    <x v="55"/>
    <x v="46"/>
    <d v="2024-08-16T00:00:00"/>
    <n v="7"/>
    <x v="3"/>
    <s v="Phone"/>
    <s v="Accessories"/>
    <x v="2"/>
    <n v="10"/>
    <n v="1173.3800000000001"/>
    <n v="788.39"/>
    <n v="384.99000000000012"/>
    <s v="Standard"/>
  </r>
  <r>
    <x v="56"/>
    <x v="53"/>
    <d v="2024-11-27T00:00:00"/>
    <n v="2"/>
    <x v="2"/>
    <s v="Printer"/>
    <s v="Accessories"/>
    <x v="3"/>
    <n v="8"/>
    <n v="1139.3699999999999"/>
    <n v="777.39"/>
    <n v="361.9799999999999"/>
    <s v="Same Day"/>
  </r>
  <r>
    <x v="57"/>
    <x v="17"/>
    <d v="2024-07-10T00:00:00"/>
    <n v="9"/>
    <x v="1"/>
    <s v="Printer"/>
    <s v="Accessories"/>
    <x v="1"/>
    <n v="4"/>
    <n v="1682.59"/>
    <n v="1272.31"/>
    <n v="410.28"/>
    <s v="Same Day"/>
  </r>
  <r>
    <x v="58"/>
    <x v="54"/>
    <d v="2024-07-26T00:00:00"/>
    <n v="8"/>
    <x v="2"/>
    <s v="Phone"/>
    <s v="Electronics"/>
    <x v="3"/>
    <n v="6"/>
    <n v="239.6"/>
    <n v="202.41"/>
    <n v="37.19"/>
    <s v="Express"/>
  </r>
  <r>
    <x v="59"/>
    <x v="55"/>
    <d v="2024-06-09T00:00:00"/>
    <n v="7"/>
    <x v="2"/>
    <s v="Phone"/>
    <s v="Electronics"/>
    <x v="1"/>
    <n v="3"/>
    <n v="683.45"/>
    <n v="488.63"/>
    <n v="194.82000000000005"/>
    <s v="Same Day"/>
  </r>
  <r>
    <x v="60"/>
    <x v="53"/>
    <d v="2024-12-05T00:00:00"/>
    <n v="10"/>
    <x v="0"/>
    <s v="Router"/>
    <s v="Electronics"/>
    <x v="0"/>
    <n v="2"/>
    <n v="1912.85"/>
    <n v="1379.33"/>
    <n v="533.52"/>
    <s v="Standard"/>
  </r>
  <r>
    <x v="61"/>
    <x v="56"/>
    <d v="2024-07-19T00:00:00"/>
    <n v="6"/>
    <x v="3"/>
    <s v="Printer"/>
    <s v="Accessories"/>
    <x v="0"/>
    <n v="6"/>
    <n v="1633.35"/>
    <n v="1124.71"/>
    <n v="508.63999999999987"/>
    <s v="Same Day"/>
  </r>
  <r>
    <x v="62"/>
    <x v="57"/>
    <d v="2024-05-18T00:00:00"/>
    <n v="7"/>
    <x v="1"/>
    <s v="Router"/>
    <s v="Accessories"/>
    <x v="0"/>
    <n v="1"/>
    <n v="425.14"/>
    <n v="304.56"/>
    <n v="120.57999999999998"/>
    <s v="Same Day"/>
  </r>
  <r>
    <x v="63"/>
    <x v="58"/>
    <d v="2024-09-19T00:00:00"/>
    <n v="9"/>
    <x v="3"/>
    <s v="Phone"/>
    <s v="Electronics"/>
    <x v="0"/>
    <n v="5"/>
    <n v="581.63"/>
    <n v="474.34"/>
    <n v="107.29000000000002"/>
    <s v="Standard"/>
  </r>
  <r>
    <x v="64"/>
    <x v="59"/>
    <d v="2024-08-04T00:00:00"/>
    <n v="8"/>
    <x v="3"/>
    <s v="Printer"/>
    <s v="Accessories"/>
    <x v="3"/>
    <n v="3"/>
    <n v="439.35"/>
    <n v="280.83"/>
    <n v="158.52000000000004"/>
    <s v="Same Day"/>
  </r>
  <r>
    <x v="65"/>
    <x v="60"/>
    <d v="2024-08-05T00:00:00"/>
    <n v="8"/>
    <x v="0"/>
    <s v="Router"/>
    <s v="Accessories"/>
    <x v="3"/>
    <n v="8"/>
    <n v="1584.5"/>
    <n v="1114.31"/>
    <n v="470.19000000000005"/>
    <s v="Same Day"/>
  </r>
  <r>
    <x v="66"/>
    <x v="61"/>
    <d v="2024-11-01T00:00:00"/>
    <n v="7"/>
    <x v="1"/>
    <s v="Phone"/>
    <s v="Electronics"/>
    <x v="1"/>
    <n v="9"/>
    <n v="1047"/>
    <n v="732.23"/>
    <n v="314.77"/>
    <s v="Standard"/>
  </r>
  <r>
    <x v="67"/>
    <x v="62"/>
    <d v="2024-12-24T00:00:00"/>
    <n v="2"/>
    <x v="2"/>
    <s v="Router"/>
    <s v="Electronics"/>
    <x v="3"/>
    <n v="3"/>
    <n v="1869.22"/>
    <n v="1300.04"/>
    <n v="569.18000000000006"/>
    <s v="Standard"/>
  </r>
  <r>
    <x v="68"/>
    <x v="63"/>
    <d v="2024-07-16T00:00:00"/>
    <n v="6"/>
    <x v="3"/>
    <s v="Router"/>
    <s v="Electronics"/>
    <x v="1"/>
    <n v="8"/>
    <n v="1786.27"/>
    <n v="1269.44"/>
    <n v="516.82999999999993"/>
    <s v="Standard"/>
  </r>
  <r>
    <x v="69"/>
    <x v="58"/>
    <d v="2024-09-13T00:00:00"/>
    <n v="3"/>
    <x v="0"/>
    <s v="Monitor"/>
    <s v="Accessories"/>
    <x v="3"/>
    <n v="7"/>
    <n v="451.5"/>
    <n v="300.62"/>
    <n v="150.88"/>
    <s v="Same Day"/>
  </r>
  <r>
    <x v="70"/>
    <x v="64"/>
    <d v="2024-08-24T00:00:00"/>
    <n v="8"/>
    <x v="0"/>
    <s v="Printer"/>
    <s v="Electronics"/>
    <x v="1"/>
    <n v="8"/>
    <n v="247.09"/>
    <n v="171.18"/>
    <n v="75.91"/>
    <s v="Express"/>
  </r>
  <r>
    <x v="71"/>
    <x v="65"/>
    <d v="2024-09-11T00:00:00"/>
    <n v="8"/>
    <x v="0"/>
    <s v="Laptop"/>
    <s v="Accessories"/>
    <x v="3"/>
    <n v="1"/>
    <n v="330.6"/>
    <n v="233.73"/>
    <n v="96.870000000000033"/>
    <s v="Same Day"/>
  </r>
  <r>
    <x v="72"/>
    <x v="66"/>
    <d v="2024-06-23T00:00:00"/>
    <n v="10"/>
    <x v="1"/>
    <s v="Monitor"/>
    <s v="Accessories"/>
    <x v="2"/>
    <n v="7"/>
    <n v="1071.6600000000001"/>
    <n v="861.68"/>
    <n v="209.98000000000013"/>
    <s v="Same Day"/>
  </r>
  <r>
    <x v="73"/>
    <x v="67"/>
    <d v="2024-04-01T00:00:00"/>
    <n v="10"/>
    <x v="1"/>
    <s v="Router"/>
    <s v="Accessories"/>
    <x v="2"/>
    <n v="1"/>
    <n v="1208.4100000000001"/>
    <n v="1006.66"/>
    <n v="201.75000000000011"/>
    <s v="Standard"/>
  </r>
  <r>
    <x v="74"/>
    <x v="68"/>
    <d v="2024-06-25T00:00:00"/>
    <n v="6"/>
    <x v="3"/>
    <s v="Router"/>
    <s v="Accessories"/>
    <x v="0"/>
    <n v="7"/>
    <n v="1912.26"/>
    <n v="1181.3800000000001"/>
    <n v="730.87999999999988"/>
    <s v="Standard"/>
  </r>
  <r>
    <x v="75"/>
    <x v="69"/>
    <d v="2024-08-29T00:00:00"/>
    <n v="7"/>
    <x v="1"/>
    <s v="Laptop"/>
    <s v="Electronics"/>
    <x v="3"/>
    <n v="5"/>
    <n v="1311.13"/>
    <n v="915.43"/>
    <n v="395.70000000000016"/>
    <s v="Standard"/>
  </r>
  <r>
    <x v="76"/>
    <x v="70"/>
    <d v="2024-09-03T00:00:00"/>
    <n v="6"/>
    <x v="1"/>
    <s v="Router"/>
    <s v="Electronics"/>
    <x v="1"/>
    <n v="6"/>
    <n v="1119.27"/>
    <n v="691.93"/>
    <n v="427.34000000000003"/>
    <s v="Standard"/>
  </r>
  <r>
    <x v="77"/>
    <x v="71"/>
    <d v="2024-11-01T00:00:00"/>
    <n v="10"/>
    <x v="3"/>
    <s v="Router"/>
    <s v="Accessories"/>
    <x v="3"/>
    <n v="4"/>
    <n v="1188.54"/>
    <n v="816.24"/>
    <n v="372.29999999999995"/>
    <s v="Express"/>
  </r>
  <r>
    <x v="78"/>
    <x v="72"/>
    <d v="2024-03-12T00:00:00"/>
    <n v="4"/>
    <x v="1"/>
    <s v="Phone"/>
    <s v="Accessories"/>
    <x v="3"/>
    <n v="9"/>
    <n v="1782.17"/>
    <n v="1360.79"/>
    <n v="421.38000000000011"/>
    <s v="Same Day"/>
  </r>
  <r>
    <x v="79"/>
    <x v="73"/>
    <d v="2024-11-08T00:00:00"/>
    <n v="6"/>
    <x v="1"/>
    <s v="Printer"/>
    <s v="Electronics"/>
    <x v="1"/>
    <n v="3"/>
    <n v="429.74"/>
    <n v="322.92"/>
    <n v="106.82"/>
    <s v="Same Day"/>
  </r>
  <r>
    <x v="80"/>
    <x v="74"/>
    <d v="2024-06-29T00:00:00"/>
    <n v="2"/>
    <x v="2"/>
    <s v="Router"/>
    <s v="Accessories"/>
    <x v="0"/>
    <n v="6"/>
    <n v="130.79"/>
    <n v="85.44"/>
    <n v="45.349999999999994"/>
    <s v="Express"/>
  </r>
  <r>
    <x v="81"/>
    <x v="75"/>
    <d v="2024-09-11T00:00:00"/>
    <n v="4"/>
    <x v="1"/>
    <s v="Monitor"/>
    <s v="Electronics"/>
    <x v="0"/>
    <n v="1"/>
    <n v="1970.07"/>
    <n v="1296.68"/>
    <n v="673.38999999999987"/>
    <s v="Express"/>
  </r>
  <r>
    <x v="82"/>
    <x v="76"/>
    <d v="2024-09-26T00:00:00"/>
    <n v="3"/>
    <x v="3"/>
    <s v="Laptop"/>
    <s v="Electronics"/>
    <x v="2"/>
    <n v="1"/>
    <n v="1870.33"/>
    <n v="1493.84"/>
    <n v="376.49"/>
    <s v="Express"/>
  </r>
  <r>
    <x v="83"/>
    <x v="77"/>
    <d v="2024-06-01T00:00:00"/>
    <n v="9"/>
    <x v="0"/>
    <s v="Monitor"/>
    <s v="Accessories"/>
    <x v="2"/>
    <n v="9"/>
    <n v="1682.17"/>
    <n v="1290.5899999999999"/>
    <n v="391.58000000000015"/>
    <s v="Same Day"/>
  </r>
  <r>
    <x v="84"/>
    <x v="78"/>
    <d v="2024-10-22T00:00:00"/>
    <n v="3"/>
    <x v="1"/>
    <s v="Laptop"/>
    <s v="Accessories"/>
    <x v="1"/>
    <n v="6"/>
    <n v="1563.23"/>
    <n v="1242.02"/>
    <n v="321.21000000000004"/>
    <s v="Express"/>
  </r>
  <r>
    <x v="85"/>
    <x v="79"/>
    <d v="2024-06-23T00:00:00"/>
    <n v="9"/>
    <x v="3"/>
    <s v="Monitor"/>
    <s v="Accessories"/>
    <x v="2"/>
    <n v="10"/>
    <n v="226.36"/>
    <n v="165.53"/>
    <n v="60.830000000000013"/>
    <s v="Standard"/>
  </r>
  <r>
    <x v="86"/>
    <x v="80"/>
    <d v="2024-04-25T00:00:00"/>
    <n v="2"/>
    <x v="2"/>
    <s v="Printer"/>
    <s v="Electronics"/>
    <x v="3"/>
    <n v="2"/>
    <n v="478.37"/>
    <n v="319.39"/>
    <n v="158.98000000000002"/>
    <s v="Standard"/>
  </r>
  <r>
    <x v="87"/>
    <x v="81"/>
    <d v="2024-09-25T00:00:00"/>
    <n v="3"/>
    <x v="2"/>
    <s v="Phone"/>
    <s v="Electronics"/>
    <x v="0"/>
    <n v="10"/>
    <n v="1565.94"/>
    <n v="1330.64"/>
    <n v="235.29999999999995"/>
    <s v="Same Day"/>
  </r>
  <r>
    <x v="88"/>
    <x v="82"/>
    <d v="2024-07-25T00:00:00"/>
    <n v="4"/>
    <x v="0"/>
    <s v="Monitor"/>
    <s v="Electronics"/>
    <x v="1"/>
    <n v="3"/>
    <n v="1706.84"/>
    <n v="1065.77"/>
    <n v="641.06999999999994"/>
    <s v="Standard"/>
  </r>
  <r>
    <x v="89"/>
    <x v="83"/>
    <d v="2025-01-05T00:00:00"/>
    <n v="8"/>
    <x v="1"/>
    <s v="Monitor"/>
    <s v="Electronics"/>
    <x v="2"/>
    <n v="6"/>
    <n v="1310.6400000000001"/>
    <n v="942.28"/>
    <n v="368.36000000000013"/>
    <s v="Same Day"/>
  </r>
  <r>
    <x v="90"/>
    <x v="52"/>
    <d v="2024-12-20T00:00:00"/>
    <n v="2"/>
    <x v="1"/>
    <s v="Printer"/>
    <s v="Electronics"/>
    <x v="0"/>
    <n v="1"/>
    <n v="192.05"/>
    <n v="134.49"/>
    <n v="57.56"/>
    <s v="Same Day"/>
  </r>
  <r>
    <x v="91"/>
    <x v="84"/>
    <d v="2024-12-25T00:00:00"/>
    <n v="4"/>
    <x v="3"/>
    <s v="Monitor"/>
    <s v="Accessories"/>
    <x v="1"/>
    <n v="3"/>
    <n v="1691.47"/>
    <n v="1301.6600000000001"/>
    <n v="389.80999999999995"/>
    <s v="Standard"/>
  </r>
  <r>
    <x v="92"/>
    <x v="85"/>
    <d v="2024-07-06T00:00:00"/>
    <n v="6"/>
    <x v="1"/>
    <s v="Printer"/>
    <s v="Accessories"/>
    <x v="3"/>
    <n v="4"/>
    <n v="485.99"/>
    <n v="360.53"/>
    <n v="125.46000000000004"/>
    <s v="Standard"/>
  </r>
  <r>
    <x v="93"/>
    <x v="86"/>
    <d v="2024-02-10T00:00:00"/>
    <n v="5"/>
    <x v="0"/>
    <s v="Monitor"/>
    <s v="Electronics"/>
    <x v="0"/>
    <n v="9"/>
    <n v="1340.85"/>
    <n v="857.86"/>
    <n v="482.9899999999999"/>
    <s v="Express"/>
  </r>
  <r>
    <x v="94"/>
    <x v="48"/>
    <d v="2024-10-24T00:00:00"/>
    <n v="3"/>
    <x v="3"/>
    <s v="Printer"/>
    <s v="Accessories"/>
    <x v="1"/>
    <n v="2"/>
    <n v="1032.8699999999999"/>
    <n v="815.93"/>
    <n v="216.93999999999994"/>
    <s v="Same Day"/>
  </r>
  <r>
    <x v="95"/>
    <x v="87"/>
    <d v="2024-03-20T00:00:00"/>
    <n v="5"/>
    <x v="0"/>
    <s v="Phone"/>
    <s v="Electronics"/>
    <x v="3"/>
    <n v="9"/>
    <n v="531.86"/>
    <n v="372.36"/>
    <n v="159.5"/>
    <s v="Standard"/>
  </r>
  <r>
    <x v="96"/>
    <x v="88"/>
    <d v="2025-01-09T00:00:00"/>
    <n v="10"/>
    <x v="1"/>
    <s v="Monitor"/>
    <s v="Accessories"/>
    <x v="0"/>
    <n v="6"/>
    <n v="1127.5999999999999"/>
    <n v="948.2"/>
    <n v="179.39999999999986"/>
    <s v="Standard"/>
  </r>
  <r>
    <x v="97"/>
    <x v="10"/>
    <d v="2024-10-31T00:00:00"/>
    <n v="3"/>
    <x v="0"/>
    <s v="Monitor"/>
    <s v="Accessories"/>
    <x v="2"/>
    <n v="3"/>
    <n v="119.71"/>
    <n v="74.2"/>
    <n v="45.509999999999991"/>
    <s v="Standard"/>
  </r>
  <r>
    <x v="98"/>
    <x v="89"/>
    <d v="2024-07-07T00:00:00"/>
    <n v="3"/>
    <x v="2"/>
    <s v="Router"/>
    <s v="Accessories"/>
    <x v="0"/>
    <n v="7"/>
    <n v="1354.44"/>
    <n v="856.4"/>
    <n v="498.04000000000008"/>
    <s v="Express"/>
  </r>
  <r>
    <x v="99"/>
    <x v="90"/>
    <d v="2024-01-17T00:00:00"/>
    <n v="7"/>
    <x v="1"/>
    <s v="Printer"/>
    <s v="Electronics"/>
    <x v="3"/>
    <n v="7"/>
    <n v="1824.65"/>
    <n v="1251.3399999999999"/>
    <n v="573.31000000000017"/>
    <s v="Express"/>
  </r>
  <r>
    <x v="100"/>
    <x v="91"/>
    <d v="2024-11-18T00:00:00"/>
    <n v="7"/>
    <x v="1"/>
    <s v="Monitor"/>
    <s v="Electronics"/>
    <x v="3"/>
    <n v="6"/>
    <n v="1109.68"/>
    <n v="734.05"/>
    <n v="375.63000000000011"/>
    <s v="Standard"/>
  </r>
  <r>
    <x v="101"/>
    <x v="92"/>
    <d v="2024-03-16T00:00:00"/>
    <n v="7"/>
    <x v="1"/>
    <s v="Printer"/>
    <s v="Electronics"/>
    <x v="0"/>
    <n v="3"/>
    <n v="1413.22"/>
    <n v="1146.53"/>
    <n v="266.69000000000005"/>
    <s v="Express"/>
  </r>
  <r>
    <x v="102"/>
    <x v="93"/>
    <d v="2024-05-28T00:00:00"/>
    <n v="10"/>
    <x v="3"/>
    <s v="Printer"/>
    <s v="Accessories"/>
    <x v="2"/>
    <n v="3"/>
    <n v="1206.05"/>
    <n v="821.91"/>
    <n v="384.14"/>
    <s v="Standard"/>
  </r>
  <r>
    <x v="103"/>
    <x v="94"/>
    <d v="2024-08-15T00:00:00"/>
    <n v="7"/>
    <x v="3"/>
    <s v="Monitor"/>
    <s v="Electronics"/>
    <x v="0"/>
    <n v="1"/>
    <n v="329.18"/>
    <n v="276.45999999999998"/>
    <n v="52.720000000000027"/>
    <s v="Express"/>
  </r>
  <r>
    <x v="104"/>
    <x v="95"/>
    <d v="2024-06-22T00:00:00"/>
    <n v="7"/>
    <x v="1"/>
    <s v="Monitor"/>
    <s v="Electronics"/>
    <x v="3"/>
    <n v="3"/>
    <n v="830.09"/>
    <n v="660.06"/>
    <n v="170.03000000000009"/>
    <s v="Express"/>
  </r>
  <r>
    <x v="105"/>
    <x v="96"/>
    <d v="2024-04-26T00:00:00"/>
    <n v="6"/>
    <x v="1"/>
    <s v="Laptop"/>
    <s v="Electronics"/>
    <x v="2"/>
    <n v="4"/>
    <n v="476.85"/>
    <n v="402.89"/>
    <n v="73.960000000000036"/>
    <s v="Standard"/>
  </r>
  <r>
    <x v="106"/>
    <x v="85"/>
    <d v="2024-07-04T00:00:00"/>
    <n v="4"/>
    <x v="0"/>
    <s v="Monitor"/>
    <s v="Accessories"/>
    <x v="0"/>
    <n v="2"/>
    <n v="1428.42"/>
    <n v="1112.2"/>
    <n v="316.22000000000003"/>
    <s v="Same Day"/>
  </r>
  <r>
    <x v="107"/>
    <x v="97"/>
    <d v="2024-01-26T00:00:00"/>
    <n v="3"/>
    <x v="2"/>
    <s v="Phone"/>
    <s v="Electronics"/>
    <x v="2"/>
    <n v="1"/>
    <n v="1110.81"/>
    <n v="769.03"/>
    <n v="341.78"/>
    <s v="Same Day"/>
  </r>
  <r>
    <x v="108"/>
    <x v="98"/>
    <d v="2024-02-29T00:00:00"/>
    <n v="7"/>
    <x v="3"/>
    <s v="Phone"/>
    <s v="Accessories"/>
    <x v="1"/>
    <n v="5"/>
    <n v="608.78"/>
    <n v="484.43"/>
    <n v="124.34999999999997"/>
    <s v="Standard"/>
  </r>
  <r>
    <x v="109"/>
    <x v="99"/>
    <d v="2024-04-13T00:00:00"/>
    <n v="10"/>
    <x v="3"/>
    <s v="Monitor"/>
    <s v="Accessories"/>
    <x v="1"/>
    <n v="9"/>
    <n v="869.13"/>
    <n v="535.5"/>
    <n v="333.63"/>
    <s v="Same Day"/>
  </r>
  <r>
    <x v="110"/>
    <x v="100"/>
    <d v="2024-03-14T00:00:00"/>
    <n v="10"/>
    <x v="1"/>
    <s v="Laptop"/>
    <s v="Accessories"/>
    <x v="2"/>
    <n v="5"/>
    <n v="1736.48"/>
    <n v="1364.51"/>
    <n v="371.97"/>
    <s v="Same Day"/>
  </r>
  <r>
    <x v="111"/>
    <x v="101"/>
    <d v="2024-11-09T00:00:00"/>
    <n v="9"/>
    <x v="3"/>
    <s v="Monitor"/>
    <s v="Electronics"/>
    <x v="2"/>
    <n v="5"/>
    <n v="1305.76"/>
    <n v="923.23"/>
    <n v="382.53"/>
    <s v="Express"/>
  </r>
  <r>
    <x v="112"/>
    <x v="102"/>
    <d v="2024-09-12T00:00:00"/>
    <n v="6"/>
    <x v="2"/>
    <s v="Phone"/>
    <s v="Electronics"/>
    <x v="1"/>
    <n v="2"/>
    <n v="1075.1300000000001"/>
    <n v="702.46"/>
    <n v="372.67000000000007"/>
    <s v="Same Day"/>
  </r>
  <r>
    <x v="113"/>
    <x v="103"/>
    <d v="2024-05-14T00:00:00"/>
    <n v="8"/>
    <x v="3"/>
    <s v="Printer"/>
    <s v="Accessories"/>
    <x v="3"/>
    <n v="3"/>
    <n v="890.36"/>
    <n v="601.84"/>
    <n v="288.52"/>
    <s v="Same Day"/>
  </r>
  <r>
    <x v="114"/>
    <x v="16"/>
    <d v="2024-06-28T00:00:00"/>
    <n v="7"/>
    <x v="0"/>
    <s v="Monitor"/>
    <s v="Accessories"/>
    <x v="1"/>
    <n v="1"/>
    <n v="732.99"/>
    <n v="558.52"/>
    <n v="174.47000000000003"/>
    <s v="Standard"/>
  </r>
  <r>
    <x v="115"/>
    <x v="104"/>
    <d v="2024-11-13T00:00:00"/>
    <n v="4"/>
    <x v="3"/>
    <s v="Printer"/>
    <s v="Accessories"/>
    <x v="3"/>
    <n v="10"/>
    <n v="1251.21"/>
    <n v="886.5"/>
    <n v="364.71000000000004"/>
    <s v="Same Day"/>
  </r>
  <r>
    <x v="116"/>
    <x v="105"/>
    <d v="2024-02-03T00:00:00"/>
    <n v="8"/>
    <x v="1"/>
    <s v="Phone"/>
    <s v="Electronics"/>
    <x v="0"/>
    <n v="10"/>
    <n v="1995.61"/>
    <n v="1605.8"/>
    <n v="389.80999999999995"/>
    <s v="Express"/>
  </r>
  <r>
    <x v="117"/>
    <x v="106"/>
    <d v="2024-03-29T00:00:00"/>
    <n v="5"/>
    <x v="1"/>
    <s v="Phone"/>
    <s v="Accessories"/>
    <x v="3"/>
    <n v="8"/>
    <n v="726.92"/>
    <n v="612.97"/>
    <n v="113.94999999999993"/>
    <s v="Express"/>
  </r>
  <r>
    <x v="118"/>
    <x v="107"/>
    <d v="2024-09-07T00:00:00"/>
    <n v="3"/>
    <x v="3"/>
    <s v="Laptop"/>
    <s v="Accessories"/>
    <x v="2"/>
    <n v="6"/>
    <n v="631.04"/>
    <n v="441.85"/>
    <n v="189.18999999999994"/>
    <s v="Same Day"/>
  </r>
  <r>
    <x v="119"/>
    <x v="108"/>
    <d v="2024-01-24T00:00:00"/>
    <n v="7"/>
    <x v="3"/>
    <s v="Laptop"/>
    <s v="Electronics"/>
    <x v="0"/>
    <n v="8"/>
    <n v="302.12"/>
    <n v="245.75"/>
    <n v="56.370000000000005"/>
    <s v="Express"/>
  </r>
  <r>
    <x v="120"/>
    <x v="109"/>
    <d v="2024-07-18T00:00:00"/>
    <n v="9"/>
    <x v="0"/>
    <s v="Monitor"/>
    <s v="Accessories"/>
    <x v="0"/>
    <n v="1"/>
    <n v="1961.96"/>
    <n v="1413.34"/>
    <n v="548.62000000000012"/>
    <s v="Same Day"/>
  </r>
  <r>
    <x v="121"/>
    <x v="110"/>
    <d v="2024-06-12T00:00:00"/>
    <n v="2"/>
    <x v="3"/>
    <s v="Monitor"/>
    <s v="Accessories"/>
    <x v="1"/>
    <n v="8"/>
    <n v="1972.19"/>
    <n v="1482.5"/>
    <n v="489.69000000000005"/>
    <s v="Same Day"/>
  </r>
  <r>
    <x v="122"/>
    <x v="3"/>
    <d v="2024-08-05T00:00:00"/>
    <n v="7"/>
    <x v="3"/>
    <s v="Printer"/>
    <s v="Electronics"/>
    <x v="0"/>
    <n v="6"/>
    <n v="700.68"/>
    <n v="523.54"/>
    <n v="177.14"/>
    <s v="Express"/>
  </r>
  <r>
    <x v="123"/>
    <x v="111"/>
    <d v="2024-11-08T00:00:00"/>
    <n v="4"/>
    <x v="1"/>
    <s v="Monitor"/>
    <s v="Accessories"/>
    <x v="2"/>
    <n v="10"/>
    <n v="362.39"/>
    <n v="224.56"/>
    <n v="137.82999999999998"/>
    <s v="Standard"/>
  </r>
  <r>
    <x v="124"/>
    <x v="112"/>
    <d v="2024-12-20T00:00:00"/>
    <n v="5"/>
    <x v="0"/>
    <s v="Phone"/>
    <s v="Electronics"/>
    <x v="0"/>
    <n v="5"/>
    <n v="723.13"/>
    <n v="568.03"/>
    <n v="155.10000000000002"/>
    <s v="Standard"/>
  </r>
  <r>
    <x v="125"/>
    <x v="113"/>
    <d v="2024-09-20T00:00:00"/>
    <n v="7"/>
    <x v="3"/>
    <s v="Phone"/>
    <s v="Accessories"/>
    <x v="1"/>
    <n v="4"/>
    <n v="1542.08"/>
    <n v="1139.8599999999999"/>
    <n v="402.22"/>
    <s v="Same Day"/>
  </r>
  <r>
    <x v="126"/>
    <x v="114"/>
    <d v="2024-12-15T00:00:00"/>
    <n v="3"/>
    <x v="3"/>
    <s v="Phone"/>
    <s v="Electronics"/>
    <x v="1"/>
    <n v="3"/>
    <n v="1687.31"/>
    <n v="1392.64"/>
    <n v="294.66999999999985"/>
    <s v="Same Day"/>
  </r>
  <r>
    <x v="127"/>
    <x v="115"/>
    <d v="2024-05-23T00:00:00"/>
    <n v="10"/>
    <x v="1"/>
    <s v="Printer"/>
    <s v="Electronics"/>
    <x v="1"/>
    <n v="7"/>
    <n v="1793.44"/>
    <n v="1446.46"/>
    <n v="346.98"/>
    <s v="Same Day"/>
  </r>
  <r>
    <x v="128"/>
    <x v="116"/>
    <d v="2024-12-24T00:00:00"/>
    <n v="10"/>
    <x v="0"/>
    <s v="Laptop"/>
    <s v="Accessories"/>
    <x v="2"/>
    <n v="8"/>
    <n v="1169.31"/>
    <n v="793.71"/>
    <n v="375.59999999999991"/>
    <s v="Same Day"/>
  </r>
  <r>
    <x v="129"/>
    <x v="117"/>
    <d v="2024-07-16T00:00:00"/>
    <n v="10"/>
    <x v="0"/>
    <s v="Laptop"/>
    <s v="Accessories"/>
    <x v="1"/>
    <n v="4"/>
    <n v="144.30000000000001"/>
    <n v="117.23"/>
    <n v="27.070000000000007"/>
    <s v="Standard"/>
  </r>
  <r>
    <x v="130"/>
    <x v="118"/>
    <d v="2024-09-01T00:00:00"/>
    <n v="7"/>
    <x v="3"/>
    <s v="Printer"/>
    <s v="Accessories"/>
    <x v="3"/>
    <n v="9"/>
    <n v="1605.15"/>
    <n v="1210.2"/>
    <n v="394.95000000000005"/>
    <s v="Standard"/>
  </r>
  <r>
    <x v="131"/>
    <x v="119"/>
    <d v="2024-03-03T00:00:00"/>
    <n v="9"/>
    <x v="1"/>
    <s v="Phone"/>
    <s v="Electronics"/>
    <x v="1"/>
    <n v="1"/>
    <n v="143.82"/>
    <n v="106.12"/>
    <n v="37.699999999999989"/>
    <s v="Same Day"/>
  </r>
  <r>
    <x v="132"/>
    <x v="99"/>
    <d v="2024-04-08T00:00:00"/>
    <n v="5"/>
    <x v="3"/>
    <s v="Printer"/>
    <s v="Accessories"/>
    <x v="3"/>
    <n v="4"/>
    <n v="1001.66"/>
    <n v="684.25"/>
    <n v="317.40999999999997"/>
    <s v="Express"/>
  </r>
  <r>
    <x v="133"/>
    <x v="120"/>
    <d v="2024-06-25T00:00:00"/>
    <n v="5"/>
    <x v="2"/>
    <s v="Phone"/>
    <s v="Accessories"/>
    <x v="3"/>
    <n v="2"/>
    <n v="593.1"/>
    <n v="406.58"/>
    <n v="186.52000000000004"/>
    <s v="Same Day"/>
  </r>
  <r>
    <x v="134"/>
    <x v="121"/>
    <d v="2024-12-09T00:00:00"/>
    <n v="10"/>
    <x v="2"/>
    <s v="Router"/>
    <s v="Electronics"/>
    <x v="2"/>
    <n v="2"/>
    <n v="292.70999999999998"/>
    <n v="225.24"/>
    <n v="67.46999999999997"/>
    <s v="Standard"/>
  </r>
  <r>
    <x v="135"/>
    <x v="122"/>
    <d v="2024-04-18T00:00:00"/>
    <n v="7"/>
    <x v="3"/>
    <s v="Router"/>
    <s v="Electronics"/>
    <x v="2"/>
    <n v="9"/>
    <n v="863.26"/>
    <n v="689.44"/>
    <n v="173.81999999999994"/>
    <s v="Same Day"/>
  </r>
  <r>
    <x v="136"/>
    <x v="123"/>
    <d v="2024-11-13T00:00:00"/>
    <n v="3"/>
    <x v="0"/>
    <s v="Router"/>
    <s v="Accessories"/>
    <x v="3"/>
    <n v="9"/>
    <n v="1138.58"/>
    <n v="925.72"/>
    <n v="212.8599999999999"/>
    <s v="Express"/>
  </r>
  <r>
    <x v="137"/>
    <x v="21"/>
    <d v="2024-09-25T00:00:00"/>
    <n v="9"/>
    <x v="3"/>
    <s v="Laptop"/>
    <s v="Electronics"/>
    <x v="1"/>
    <n v="8"/>
    <n v="1606.48"/>
    <n v="1296.75"/>
    <n v="309.73"/>
    <s v="Express"/>
  </r>
  <r>
    <x v="138"/>
    <x v="62"/>
    <d v="2024-12-28T00:00:00"/>
    <n v="6"/>
    <x v="0"/>
    <s v="Phone"/>
    <s v="Electronics"/>
    <x v="2"/>
    <n v="7"/>
    <n v="1033.3599999999999"/>
    <n v="754.46"/>
    <n v="278.89999999999986"/>
    <s v="Standard"/>
  </r>
  <r>
    <x v="139"/>
    <x v="84"/>
    <d v="2024-12-28T00:00:00"/>
    <n v="7"/>
    <x v="1"/>
    <s v="Router"/>
    <s v="Electronics"/>
    <x v="1"/>
    <n v="6"/>
    <n v="1241.98"/>
    <n v="960.72"/>
    <n v="281.26"/>
    <s v="Express"/>
  </r>
  <r>
    <x v="140"/>
    <x v="124"/>
    <d v="2024-12-15T00:00:00"/>
    <n v="9"/>
    <x v="2"/>
    <s v="Laptop"/>
    <s v="Accessories"/>
    <x v="1"/>
    <n v="9"/>
    <n v="1322.98"/>
    <n v="987.71"/>
    <n v="335.27"/>
    <s v="Standard"/>
  </r>
  <r>
    <x v="141"/>
    <x v="107"/>
    <d v="2024-09-09T00:00:00"/>
    <n v="5"/>
    <x v="0"/>
    <s v="Router"/>
    <s v="Accessories"/>
    <x v="1"/>
    <n v="1"/>
    <n v="1772.93"/>
    <n v="1333.37"/>
    <n v="439.56000000000017"/>
    <s v="Same Day"/>
  </r>
  <r>
    <x v="142"/>
    <x v="125"/>
    <d v="2024-09-09T00:00:00"/>
    <n v="10"/>
    <x v="3"/>
    <s v="Phone"/>
    <s v="Accessories"/>
    <x v="3"/>
    <n v="8"/>
    <n v="1234.7"/>
    <n v="852.73"/>
    <n v="381.97"/>
    <s v="Same Day"/>
  </r>
  <r>
    <x v="143"/>
    <x v="123"/>
    <d v="2024-11-15T00:00:00"/>
    <n v="5"/>
    <x v="2"/>
    <s v="Phone"/>
    <s v="Accessories"/>
    <x v="3"/>
    <n v="7"/>
    <n v="1730.86"/>
    <n v="1374.34"/>
    <n v="356.52"/>
    <s v="Standard"/>
  </r>
  <r>
    <x v="144"/>
    <x v="30"/>
    <d v="2024-10-07T00:00:00"/>
    <n v="6"/>
    <x v="2"/>
    <s v="Phone"/>
    <s v="Accessories"/>
    <x v="1"/>
    <n v="8"/>
    <n v="1412.07"/>
    <n v="1049.23"/>
    <n v="362.83999999999992"/>
    <s v="Express"/>
  </r>
  <r>
    <x v="145"/>
    <x v="126"/>
    <d v="2024-08-15T00:00:00"/>
    <n v="2"/>
    <x v="1"/>
    <s v="Laptop"/>
    <s v="Accessories"/>
    <x v="0"/>
    <n v="8"/>
    <n v="1842.63"/>
    <n v="1497.18"/>
    <n v="345.45000000000005"/>
    <s v="Express"/>
  </r>
  <r>
    <x v="146"/>
    <x v="78"/>
    <d v="2024-10-22T00:00:00"/>
    <n v="3"/>
    <x v="2"/>
    <s v="Router"/>
    <s v="Accessories"/>
    <x v="1"/>
    <n v="9"/>
    <n v="1215.68"/>
    <n v="842.01"/>
    <n v="373.67000000000007"/>
    <s v="Express"/>
  </r>
  <r>
    <x v="147"/>
    <x v="127"/>
    <d v="2024-05-01T00:00:00"/>
    <n v="9"/>
    <x v="1"/>
    <s v="Monitor"/>
    <s v="Accessories"/>
    <x v="2"/>
    <n v="2"/>
    <n v="1054.6400000000001"/>
    <n v="822.36"/>
    <n v="232.28000000000009"/>
    <s v="Express"/>
  </r>
  <r>
    <x v="148"/>
    <x v="128"/>
    <d v="2024-09-29T00:00:00"/>
    <n v="4"/>
    <x v="3"/>
    <s v="Phone"/>
    <s v="Electronics"/>
    <x v="0"/>
    <n v="1"/>
    <n v="1604.83"/>
    <n v="1075.3699999999999"/>
    <n v="529.46"/>
    <s v="Same Day"/>
  </r>
  <r>
    <x v="149"/>
    <x v="104"/>
    <d v="2024-11-19T00:00:00"/>
    <n v="10"/>
    <x v="3"/>
    <s v="Phone"/>
    <s v="Electronics"/>
    <x v="2"/>
    <n v="10"/>
    <n v="1327.02"/>
    <n v="834.66"/>
    <n v="492.36"/>
    <s v="Same Day"/>
  </r>
  <r>
    <x v="150"/>
    <x v="9"/>
    <d v="2024-05-11T00:00:00"/>
    <n v="9"/>
    <x v="3"/>
    <s v="Phone"/>
    <s v="Accessories"/>
    <x v="1"/>
    <n v="10"/>
    <n v="1861.09"/>
    <n v="1136.3399999999999"/>
    <n v="724.75"/>
    <s v="Express"/>
  </r>
  <r>
    <x v="151"/>
    <x v="129"/>
    <d v="2024-12-20T00:00:00"/>
    <n v="9"/>
    <x v="0"/>
    <s v="Monitor"/>
    <s v="Accessories"/>
    <x v="0"/>
    <n v="6"/>
    <n v="478.31"/>
    <n v="362.24"/>
    <n v="116.07"/>
    <s v="Standard"/>
  </r>
  <r>
    <x v="152"/>
    <x v="130"/>
    <d v="2024-05-22T00:00:00"/>
    <n v="7"/>
    <x v="0"/>
    <s v="Monitor"/>
    <s v="Accessories"/>
    <x v="3"/>
    <n v="3"/>
    <n v="1198.94"/>
    <n v="838.62"/>
    <n v="360.32000000000005"/>
    <s v="Express"/>
  </r>
  <r>
    <x v="153"/>
    <x v="131"/>
    <d v="2024-08-12T00:00:00"/>
    <n v="5"/>
    <x v="2"/>
    <s v="Printer"/>
    <s v="Accessories"/>
    <x v="0"/>
    <n v="9"/>
    <n v="1120.22"/>
    <n v="806.27"/>
    <n v="313.95000000000005"/>
    <s v="Express"/>
  </r>
  <r>
    <x v="154"/>
    <x v="132"/>
    <d v="2024-04-03T00:00:00"/>
    <n v="6"/>
    <x v="3"/>
    <s v="Monitor"/>
    <s v="Accessories"/>
    <x v="3"/>
    <n v="5"/>
    <n v="1815.7"/>
    <n v="1452.91"/>
    <n v="362.78999999999996"/>
    <s v="Same Day"/>
  </r>
  <r>
    <x v="155"/>
    <x v="133"/>
    <d v="2024-03-10T00:00:00"/>
    <n v="9"/>
    <x v="1"/>
    <s v="Router"/>
    <s v="Electronics"/>
    <x v="1"/>
    <n v="8"/>
    <n v="913.03"/>
    <n v="650.96"/>
    <n v="262.06999999999994"/>
    <s v="Express"/>
  </r>
  <r>
    <x v="156"/>
    <x v="30"/>
    <d v="2024-10-05T00:00:00"/>
    <n v="4"/>
    <x v="2"/>
    <s v="Laptop"/>
    <s v="Accessories"/>
    <x v="0"/>
    <n v="1"/>
    <n v="648.4"/>
    <n v="444.03"/>
    <n v="204.37"/>
    <s v="Express"/>
  </r>
  <r>
    <x v="157"/>
    <x v="48"/>
    <d v="2024-10-25T00:00:00"/>
    <n v="4"/>
    <x v="2"/>
    <s v="Printer"/>
    <s v="Accessories"/>
    <x v="2"/>
    <n v="2"/>
    <n v="716.47"/>
    <n v="466.25"/>
    <n v="250.22000000000003"/>
    <s v="Same Day"/>
  </r>
  <r>
    <x v="158"/>
    <x v="134"/>
    <d v="2024-02-28T00:00:00"/>
    <n v="10"/>
    <x v="2"/>
    <s v="Laptop"/>
    <s v="Electronics"/>
    <x v="0"/>
    <n v="10"/>
    <n v="428.05"/>
    <n v="307.88"/>
    <n v="120.17000000000002"/>
    <s v="Standard"/>
  </r>
  <r>
    <x v="159"/>
    <x v="135"/>
    <d v="2024-06-26T00:00:00"/>
    <n v="8"/>
    <x v="1"/>
    <s v="Laptop"/>
    <s v="Accessories"/>
    <x v="1"/>
    <n v="4"/>
    <n v="659.01"/>
    <n v="481.28"/>
    <n v="177.73000000000002"/>
    <s v="Same Day"/>
  </r>
  <r>
    <x v="160"/>
    <x v="31"/>
    <d v="2024-12-01T00:00:00"/>
    <n v="10"/>
    <x v="0"/>
    <s v="Router"/>
    <s v="Accessories"/>
    <x v="1"/>
    <n v="3"/>
    <n v="373.32"/>
    <n v="302.83"/>
    <n v="70.490000000000009"/>
    <s v="Standard"/>
  </r>
  <r>
    <x v="161"/>
    <x v="131"/>
    <d v="2024-08-11T00:00:00"/>
    <n v="4"/>
    <x v="3"/>
    <s v="Printer"/>
    <s v="Electronics"/>
    <x v="2"/>
    <n v="8"/>
    <n v="330.76"/>
    <n v="206.78"/>
    <n v="123.97999999999999"/>
    <s v="Standard"/>
  </r>
  <r>
    <x v="162"/>
    <x v="136"/>
    <d v="2024-04-14T00:00:00"/>
    <n v="4"/>
    <x v="3"/>
    <s v="Printer"/>
    <s v="Electronics"/>
    <x v="1"/>
    <n v="1"/>
    <n v="734.79"/>
    <n v="603.19000000000005"/>
    <n v="131.59999999999991"/>
    <s v="Express"/>
  </r>
  <r>
    <x v="163"/>
    <x v="42"/>
    <d v="2024-10-27T00:00:00"/>
    <n v="10"/>
    <x v="3"/>
    <s v="Monitor"/>
    <s v="Accessories"/>
    <x v="3"/>
    <n v="5"/>
    <n v="791.56"/>
    <n v="669.56"/>
    <n v="122"/>
    <s v="Same Day"/>
  </r>
  <r>
    <x v="164"/>
    <x v="137"/>
    <d v="2024-03-12T00:00:00"/>
    <n v="10"/>
    <x v="2"/>
    <s v="Monitor"/>
    <s v="Electronics"/>
    <x v="3"/>
    <n v="4"/>
    <n v="118.25"/>
    <n v="89.4"/>
    <n v="28.849999999999994"/>
    <s v="Express"/>
  </r>
  <r>
    <x v="165"/>
    <x v="138"/>
    <d v="2024-07-23T00:00:00"/>
    <n v="9"/>
    <x v="1"/>
    <s v="Phone"/>
    <s v="Electronics"/>
    <x v="3"/>
    <n v="7"/>
    <n v="1444.59"/>
    <n v="1051.8800000000001"/>
    <n v="392.70999999999981"/>
    <s v="Express"/>
  </r>
  <r>
    <x v="166"/>
    <x v="106"/>
    <d v="2024-03-26T00:00:00"/>
    <n v="2"/>
    <x v="0"/>
    <s v="Laptop"/>
    <s v="Accessories"/>
    <x v="1"/>
    <n v="1"/>
    <n v="516.79"/>
    <n v="311.42"/>
    <n v="205.36999999999995"/>
    <s v="Same Day"/>
  </r>
  <r>
    <x v="167"/>
    <x v="54"/>
    <d v="2024-07-27T00:00:00"/>
    <n v="9"/>
    <x v="1"/>
    <s v="Router"/>
    <s v="Electronics"/>
    <x v="3"/>
    <n v="6"/>
    <n v="387.15"/>
    <n v="283.75"/>
    <n v="103.39999999999998"/>
    <s v="Express"/>
  </r>
  <r>
    <x v="168"/>
    <x v="139"/>
    <d v="2024-01-17T00:00:00"/>
    <n v="5"/>
    <x v="3"/>
    <s v="Router"/>
    <s v="Electronics"/>
    <x v="3"/>
    <n v="3"/>
    <n v="780.05"/>
    <n v="554.71"/>
    <n v="225.33999999999992"/>
    <s v="Standard"/>
  </r>
  <r>
    <x v="169"/>
    <x v="126"/>
    <d v="2024-08-17T00:00:00"/>
    <n v="4"/>
    <x v="2"/>
    <s v="Printer"/>
    <s v="Accessories"/>
    <x v="0"/>
    <n v="2"/>
    <n v="1480.08"/>
    <n v="1085.3399999999999"/>
    <n v="394.74"/>
    <s v="Express"/>
  </r>
  <r>
    <x v="170"/>
    <x v="24"/>
    <d v="2024-11-17T00:00:00"/>
    <n v="2"/>
    <x v="2"/>
    <s v="Router"/>
    <s v="Accessories"/>
    <x v="1"/>
    <n v="4"/>
    <n v="1428.37"/>
    <n v="1077.1199999999999"/>
    <n v="351.25"/>
    <s v="Standard"/>
  </r>
  <r>
    <x v="171"/>
    <x v="140"/>
    <d v="2024-08-24T00:00:00"/>
    <n v="10"/>
    <x v="2"/>
    <s v="Monitor"/>
    <s v="Accessories"/>
    <x v="2"/>
    <n v="5"/>
    <n v="884.18"/>
    <n v="642.29999999999995"/>
    <n v="241.88"/>
    <s v="Express"/>
  </r>
  <r>
    <x v="172"/>
    <x v="34"/>
    <d v="2024-09-22T00:00:00"/>
    <n v="5"/>
    <x v="3"/>
    <s v="Phone"/>
    <s v="Accessories"/>
    <x v="2"/>
    <n v="10"/>
    <n v="1594.72"/>
    <n v="1136.25"/>
    <n v="458.47"/>
    <s v="Express"/>
  </r>
  <r>
    <x v="173"/>
    <x v="141"/>
    <d v="2024-03-09T00:00:00"/>
    <n v="9"/>
    <x v="3"/>
    <s v="Printer"/>
    <s v="Electronics"/>
    <x v="1"/>
    <n v="2"/>
    <n v="484.09"/>
    <n v="361.42"/>
    <n v="122.66999999999996"/>
    <s v="Standard"/>
  </r>
  <r>
    <x v="174"/>
    <x v="142"/>
    <d v="2024-10-28T00:00:00"/>
    <n v="4"/>
    <x v="0"/>
    <s v="Laptop"/>
    <s v="Accessories"/>
    <x v="2"/>
    <n v="1"/>
    <n v="469"/>
    <n v="367.18"/>
    <n v="101.82"/>
    <s v="Express"/>
  </r>
  <r>
    <x v="175"/>
    <x v="87"/>
    <d v="2024-03-18T00:00:00"/>
    <n v="3"/>
    <x v="2"/>
    <s v="Router"/>
    <s v="Accessories"/>
    <x v="2"/>
    <n v="1"/>
    <n v="1571.67"/>
    <n v="1289.04"/>
    <n v="282.63000000000011"/>
    <s v="Standard"/>
  </r>
  <r>
    <x v="176"/>
    <x v="54"/>
    <d v="2024-07-27T00:00:00"/>
    <n v="9"/>
    <x v="0"/>
    <s v="Laptop"/>
    <s v="Electronics"/>
    <x v="1"/>
    <n v="7"/>
    <n v="1761.64"/>
    <n v="1283.57"/>
    <n v="478.07000000000016"/>
    <s v="Standard"/>
  </r>
  <r>
    <x v="177"/>
    <x v="1"/>
    <d v="2024-03-03T00:00:00"/>
    <n v="8"/>
    <x v="1"/>
    <s v="Monitor"/>
    <s v="Accessories"/>
    <x v="3"/>
    <n v="1"/>
    <n v="1683.87"/>
    <n v="1013.31"/>
    <n v="670.56"/>
    <s v="Express"/>
  </r>
  <r>
    <x v="178"/>
    <x v="143"/>
    <d v="2024-11-26T00:00:00"/>
    <n v="8"/>
    <x v="0"/>
    <s v="Router"/>
    <s v="Accessories"/>
    <x v="3"/>
    <n v="4"/>
    <n v="923.34"/>
    <n v="576.30999999999995"/>
    <n v="347.03000000000009"/>
    <s v="Standard"/>
  </r>
  <r>
    <x v="179"/>
    <x v="130"/>
    <d v="2024-05-22T00:00:00"/>
    <n v="7"/>
    <x v="3"/>
    <s v="Phone"/>
    <s v="Electronics"/>
    <x v="3"/>
    <n v="7"/>
    <n v="1094.08"/>
    <n v="671.21"/>
    <n v="422.86999999999989"/>
    <s v="Same Day"/>
  </r>
  <r>
    <x v="180"/>
    <x v="104"/>
    <d v="2024-11-15T00:00:00"/>
    <n v="6"/>
    <x v="3"/>
    <s v="Monitor"/>
    <s v="Electronics"/>
    <x v="0"/>
    <n v="4"/>
    <n v="185.51"/>
    <n v="134.91999999999999"/>
    <n v="50.59"/>
    <s v="Express"/>
  </r>
  <r>
    <x v="181"/>
    <x v="64"/>
    <d v="2024-08-22T00:00:00"/>
    <n v="6"/>
    <x v="0"/>
    <s v="Laptop"/>
    <s v="Accessories"/>
    <x v="1"/>
    <n v="2"/>
    <n v="1930.34"/>
    <n v="1368.66"/>
    <n v="561.67999999999984"/>
    <s v="Same Day"/>
  </r>
  <r>
    <x v="182"/>
    <x v="144"/>
    <d v="2024-06-19T00:00:00"/>
    <n v="8"/>
    <x v="0"/>
    <s v="Phone"/>
    <s v="Accessories"/>
    <x v="1"/>
    <n v="9"/>
    <n v="288.29000000000002"/>
    <n v="184.86"/>
    <n v="103.43"/>
    <s v="Standard"/>
  </r>
  <r>
    <x v="183"/>
    <x v="128"/>
    <d v="2024-10-01T00:00:00"/>
    <n v="6"/>
    <x v="0"/>
    <s v="Laptop"/>
    <s v="Accessories"/>
    <x v="2"/>
    <n v="8"/>
    <n v="955.79"/>
    <n v="598.86"/>
    <n v="356.92999999999995"/>
    <s v="Same Day"/>
  </r>
  <r>
    <x v="184"/>
    <x v="145"/>
    <d v="2024-07-16T00:00:00"/>
    <n v="5"/>
    <x v="2"/>
    <s v="Printer"/>
    <s v="Accessories"/>
    <x v="1"/>
    <n v="3"/>
    <n v="1820.4"/>
    <n v="1145.79"/>
    <n v="674.61000000000013"/>
    <s v="Same Day"/>
  </r>
  <r>
    <x v="185"/>
    <x v="50"/>
    <d v="2024-12-07T00:00:00"/>
    <n v="4"/>
    <x v="2"/>
    <s v="Monitor"/>
    <s v="Accessories"/>
    <x v="1"/>
    <n v="6"/>
    <n v="1741.48"/>
    <n v="1252.3599999999999"/>
    <n v="489.12000000000012"/>
    <s v="Same Day"/>
  </r>
  <r>
    <x v="186"/>
    <x v="146"/>
    <d v="2024-05-29T00:00:00"/>
    <n v="2"/>
    <x v="2"/>
    <s v="Phone"/>
    <s v="Accessories"/>
    <x v="0"/>
    <n v="3"/>
    <n v="716.67"/>
    <n v="599.17999999999995"/>
    <n v="117.49000000000001"/>
    <s v="Standard"/>
  </r>
  <r>
    <x v="187"/>
    <x v="98"/>
    <d v="2024-02-24T00:00:00"/>
    <n v="2"/>
    <x v="3"/>
    <s v="Phone"/>
    <s v="Electronics"/>
    <x v="2"/>
    <n v="5"/>
    <n v="562.19000000000005"/>
    <n v="457.19"/>
    <n v="105.00000000000006"/>
    <s v="Standard"/>
  </r>
  <r>
    <x v="188"/>
    <x v="147"/>
    <d v="2024-10-13T00:00:00"/>
    <n v="9"/>
    <x v="3"/>
    <s v="Router"/>
    <s v="Electronics"/>
    <x v="0"/>
    <n v="8"/>
    <n v="121.83"/>
    <n v="75.37"/>
    <n v="46.459999999999994"/>
    <s v="Standard"/>
  </r>
  <r>
    <x v="189"/>
    <x v="148"/>
    <d v="2024-03-30T00:00:00"/>
    <n v="7"/>
    <x v="3"/>
    <s v="Monitor"/>
    <s v="Accessories"/>
    <x v="2"/>
    <n v="10"/>
    <n v="626.79"/>
    <n v="483.62"/>
    <n v="143.16999999999996"/>
    <s v="Standard"/>
  </r>
  <r>
    <x v="190"/>
    <x v="149"/>
    <d v="2024-04-06T00:00:00"/>
    <n v="7"/>
    <x v="3"/>
    <s v="Laptop"/>
    <s v="Electronics"/>
    <x v="0"/>
    <n v="9"/>
    <n v="1369.05"/>
    <n v="938.57"/>
    <n v="430.4799999999999"/>
    <s v="Same Day"/>
  </r>
  <r>
    <x v="191"/>
    <x v="150"/>
    <d v="2024-06-12T00:00:00"/>
    <n v="5"/>
    <x v="0"/>
    <s v="Phone"/>
    <s v="Electronics"/>
    <x v="3"/>
    <n v="2"/>
    <n v="1259.6600000000001"/>
    <n v="1048.1400000000001"/>
    <n v="211.51999999999998"/>
    <s v="Express"/>
  </r>
  <r>
    <x v="192"/>
    <x v="114"/>
    <d v="2024-12-18T00:00:00"/>
    <n v="6"/>
    <x v="2"/>
    <s v="Phone"/>
    <s v="Electronics"/>
    <x v="0"/>
    <n v="10"/>
    <n v="1384.44"/>
    <n v="1010.78"/>
    <n v="373.66000000000008"/>
    <s v="Standard"/>
  </r>
  <r>
    <x v="193"/>
    <x v="151"/>
    <d v="2024-07-15T00:00:00"/>
    <n v="7"/>
    <x v="2"/>
    <s v="Printer"/>
    <s v="Accessories"/>
    <x v="1"/>
    <n v="5"/>
    <n v="1254.8"/>
    <n v="1051.68"/>
    <n v="203.11999999999989"/>
    <s v="Same Day"/>
  </r>
  <r>
    <x v="194"/>
    <x v="127"/>
    <d v="2024-04-25T00:00:00"/>
    <n v="3"/>
    <x v="1"/>
    <s v="Monitor"/>
    <s v="Accessories"/>
    <x v="0"/>
    <n v="4"/>
    <n v="293.56"/>
    <n v="203.37"/>
    <n v="90.19"/>
    <s v="Standard"/>
  </r>
  <r>
    <x v="195"/>
    <x v="152"/>
    <d v="2024-08-02T00:00:00"/>
    <n v="7"/>
    <x v="1"/>
    <s v="Printer"/>
    <s v="Electronics"/>
    <x v="2"/>
    <n v="10"/>
    <n v="1516.6"/>
    <n v="1113.28"/>
    <n v="403.31999999999994"/>
    <s v="Standard"/>
  </r>
  <r>
    <x v="196"/>
    <x v="67"/>
    <d v="2024-03-28T00:00:00"/>
    <n v="6"/>
    <x v="1"/>
    <s v="Laptop"/>
    <s v="Accessories"/>
    <x v="2"/>
    <n v="1"/>
    <n v="875.32"/>
    <n v="670.96"/>
    <n v="204.36"/>
    <s v="Standard"/>
  </r>
  <r>
    <x v="197"/>
    <x v="76"/>
    <d v="2024-10-03T00:00:00"/>
    <n v="10"/>
    <x v="0"/>
    <s v="Monitor"/>
    <s v="Accessories"/>
    <x v="2"/>
    <n v="1"/>
    <n v="1208.33"/>
    <n v="925.41"/>
    <n v="282.91999999999996"/>
    <s v="Express"/>
  </r>
  <r>
    <x v="198"/>
    <x v="153"/>
    <d v="2024-07-15T00:00:00"/>
    <n v="8"/>
    <x v="3"/>
    <s v="Phone"/>
    <s v="Electronics"/>
    <x v="1"/>
    <n v="3"/>
    <n v="653.76"/>
    <n v="528.09"/>
    <n v="125.66999999999996"/>
    <s v="Express"/>
  </r>
  <r>
    <x v="199"/>
    <x v="154"/>
    <d v="2024-06-22T00:00:00"/>
    <n v="6"/>
    <x v="1"/>
    <s v="Phone"/>
    <s v="Electronics"/>
    <x v="1"/>
    <n v="7"/>
    <n v="836.14"/>
    <n v="654.95000000000005"/>
    <n v="181.18999999999994"/>
    <s v="Express"/>
  </r>
  <r>
    <x v="200"/>
    <x v="155"/>
    <d v="2024-07-02T00:00:00"/>
    <n v="10"/>
    <x v="2"/>
    <s v="Phone"/>
    <s v="Electronics"/>
    <x v="3"/>
    <n v="6"/>
    <n v="370.85"/>
    <n v="312.25"/>
    <n v="58.600000000000023"/>
    <s v="Same Day"/>
  </r>
  <r>
    <x v="201"/>
    <x v="156"/>
    <d v="2024-09-24T00:00:00"/>
    <n v="10"/>
    <x v="2"/>
    <s v="Printer"/>
    <s v="Accessories"/>
    <x v="3"/>
    <n v="3"/>
    <n v="1561.44"/>
    <n v="986.75"/>
    <n v="574.69000000000005"/>
    <s v="Same Day"/>
  </r>
  <r>
    <x v="202"/>
    <x v="157"/>
    <d v="2024-08-11T00:00:00"/>
    <n v="6"/>
    <x v="0"/>
    <s v="Printer"/>
    <s v="Electronics"/>
    <x v="2"/>
    <n v="3"/>
    <n v="463.94"/>
    <n v="363.46"/>
    <n v="100.48000000000002"/>
    <s v="Express"/>
  </r>
  <r>
    <x v="203"/>
    <x v="76"/>
    <d v="2024-09-25T00:00:00"/>
    <n v="2"/>
    <x v="2"/>
    <s v="Phone"/>
    <s v="Electronics"/>
    <x v="1"/>
    <n v="5"/>
    <n v="1849.7"/>
    <n v="1521.74"/>
    <n v="327.96000000000004"/>
    <s v="Same Day"/>
  </r>
  <r>
    <x v="204"/>
    <x v="33"/>
    <d v="2024-09-18T00:00:00"/>
    <n v="10"/>
    <x v="1"/>
    <s v="Router"/>
    <s v="Accessories"/>
    <x v="1"/>
    <n v="2"/>
    <n v="1844.25"/>
    <n v="1537.67"/>
    <n v="306.57999999999993"/>
    <s v="Standard"/>
  </r>
  <r>
    <x v="205"/>
    <x v="158"/>
    <d v="2024-04-01T00:00:00"/>
    <n v="6"/>
    <x v="3"/>
    <s v="Monitor"/>
    <s v="Electronics"/>
    <x v="3"/>
    <n v="2"/>
    <n v="1807.77"/>
    <n v="1284.5899999999999"/>
    <n v="523.18000000000006"/>
    <s v="Express"/>
  </r>
  <r>
    <x v="206"/>
    <x v="159"/>
    <d v="2024-12-02T00:00:00"/>
    <n v="4"/>
    <x v="3"/>
    <s v="Router"/>
    <s v="Accessories"/>
    <x v="0"/>
    <n v="7"/>
    <n v="1176.05"/>
    <n v="970.87"/>
    <n v="205.17999999999995"/>
    <s v="Standard"/>
  </r>
  <r>
    <x v="207"/>
    <x v="160"/>
    <d v="2024-01-14T00:00:00"/>
    <n v="3"/>
    <x v="1"/>
    <s v="Printer"/>
    <s v="Accessories"/>
    <x v="0"/>
    <n v="3"/>
    <n v="1189.56"/>
    <n v="889.18"/>
    <n v="300.38"/>
    <s v="Standard"/>
  </r>
  <r>
    <x v="208"/>
    <x v="161"/>
    <d v="2024-11-29T00:00:00"/>
    <n v="3"/>
    <x v="1"/>
    <s v="Laptop"/>
    <s v="Electronics"/>
    <x v="2"/>
    <n v="6"/>
    <n v="578.37"/>
    <n v="355.33"/>
    <n v="223.04000000000002"/>
    <s v="Standard"/>
  </r>
  <r>
    <x v="209"/>
    <x v="155"/>
    <d v="2024-07-01T00:00:00"/>
    <n v="9"/>
    <x v="1"/>
    <s v="Laptop"/>
    <s v="Electronics"/>
    <x v="2"/>
    <n v="9"/>
    <n v="1631.75"/>
    <n v="1212.03"/>
    <n v="419.72"/>
    <s v="Standard"/>
  </r>
  <r>
    <x v="210"/>
    <x v="162"/>
    <d v="2024-01-22T00:00:00"/>
    <n v="8"/>
    <x v="3"/>
    <s v="Monitor"/>
    <s v="Accessories"/>
    <x v="1"/>
    <n v="2"/>
    <n v="860.12"/>
    <n v="619.26"/>
    <n v="240.86"/>
    <s v="Express"/>
  </r>
  <r>
    <x v="211"/>
    <x v="163"/>
    <d v="2024-03-16T00:00:00"/>
    <n v="9"/>
    <x v="0"/>
    <s v="Phone"/>
    <s v="Accessories"/>
    <x v="3"/>
    <n v="5"/>
    <n v="740.83"/>
    <n v="499.27"/>
    <n v="241.56000000000006"/>
    <s v="Standard"/>
  </r>
  <r>
    <x v="212"/>
    <x v="164"/>
    <d v="2024-10-06T00:00:00"/>
    <n v="7"/>
    <x v="0"/>
    <s v="Router"/>
    <s v="Electronics"/>
    <x v="3"/>
    <n v="1"/>
    <n v="734.83"/>
    <n v="479.52"/>
    <n v="255.31000000000006"/>
    <s v="Express"/>
  </r>
  <r>
    <x v="213"/>
    <x v="165"/>
    <d v="2024-01-09T00:00:00"/>
    <n v="8"/>
    <x v="3"/>
    <s v="Router"/>
    <s v="Electronics"/>
    <x v="0"/>
    <n v="4"/>
    <n v="1755.47"/>
    <n v="1357.62"/>
    <n v="397.85000000000014"/>
    <s v="Same Day"/>
  </r>
  <r>
    <x v="214"/>
    <x v="166"/>
    <d v="2024-10-03T00:00:00"/>
    <n v="6"/>
    <x v="3"/>
    <s v="Phone"/>
    <s v="Electronics"/>
    <x v="3"/>
    <n v="6"/>
    <n v="1873.81"/>
    <n v="1160.26"/>
    <n v="713.55"/>
    <s v="Same Day"/>
  </r>
  <r>
    <x v="215"/>
    <x v="74"/>
    <d v="2024-07-07T00:00:00"/>
    <n v="10"/>
    <x v="1"/>
    <s v="Phone"/>
    <s v="Accessories"/>
    <x v="1"/>
    <n v="6"/>
    <n v="1805.62"/>
    <n v="1180.42"/>
    <n v="625.19999999999982"/>
    <s v="Standard"/>
  </r>
  <r>
    <x v="216"/>
    <x v="97"/>
    <d v="2024-01-28T00:00:00"/>
    <n v="5"/>
    <x v="3"/>
    <s v="Monitor"/>
    <s v="Electronics"/>
    <x v="2"/>
    <n v="4"/>
    <n v="1165.0999999999999"/>
    <n v="715.52"/>
    <n v="449.57999999999993"/>
    <s v="Standard"/>
  </r>
  <r>
    <x v="217"/>
    <x v="167"/>
    <d v="2024-10-06T00:00:00"/>
    <n v="3"/>
    <x v="3"/>
    <s v="Monitor"/>
    <s v="Electronics"/>
    <x v="3"/>
    <n v="10"/>
    <n v="1924.58"/>
    <n v="1551.77"/>
    <n v="372.80999999999995"/>
    <s v="Standard"/>
  </r>
  <r>
    <x v="218"/>
    <x v="1"/>
    <d v="2024-02-27T00:00:00"/>
    <n v="3"/>
    <x v="2"/>
    <s v="Phone"/>
    <s v="Accessories"/>
    <x v="2"/>
    <n v="7"/>
    <n v="839.17"/>
    <n v="581.02"/>
    <n v="258.14999999999998"/>
    <s v="Same Day"/>
  </r>
  <r>
    <x v="219"/>
    <x v="75"/>
    <d v="2024-09-13T00:00:00"/>
    <n v="6"/>
    <x v="1"/>
    <s v="Phone"/>
    <s v="Accessories"/>
    <x v="1"/>
    <n v="1"/>
    <n v="735.35"/>
    <n v="517.28"/>
    <n v="218.07000000000005"/>
    <s v="Express"/>
  </r>
  <r>
    <x v="220"/>
    <x v="77"/>
    <d v="2024-05-31T00:00:00"/>
    <n v="8"/>
    <x v="2"/>
    <s v="Printer"/>
    <s v="Electronics"/>
    <x v="1"/>
    <n v="8"/>
    <n v="941.01"/>
    <n v="704.29"/>
    <n v="236.72000000000003"/>
    <s v="Express"/>
  </r>
  <r>
    <x v="221"/>
    <x v="168"/>
    <d v="2024-09-18T00:00:00"/>
    <n v="3"/>
    <x v="1"/>
    <s v="Router"/>
    <s v="Electronics"/>
    <x v="3"/>
    <n v="6"/>
    <n v="937.83"/>
    <n v="630.76"/>
    <n v="307.07000000000005"/>
    <s v="Same Day"/>
  </r>
  <r>
    <x v="222"/>
    <x v="53"/>
    <d v="2024-11-29T00:00:00"/>
    <n v="4"/>
    <x v="0"/>
    <s v="Printer"/>
    <s v="Electronics"/>
    <x v="3"/>
    <n v="7"/>
    <n v="998.01"/>
    <n v="644.16"/>
    <n v="353.85"/>
    <s v="Express"/>
  </r>
  <r>
    <x v="223"/>
    <x v="169"/>
    <d v="2024-11-07T00:00:00"/>
    <n v="4"/>
    <x v="0"/>
    <s v="Printer"/>
    <s v="Accessories"/>
    <x v="0"/>
    <n v="6"/>
    <n v="1803.39"/>
    <n v="1228.95"/>
    <n v="574.44000000000005"/>
    <s v="Standard"/>
  </r>
  <r>
    <x v="224"/>
    <x v="89"/>
    <d v="2024-07-13T00:00:00"/>
    <n v="9"/>
    <x v="1"/>
    <s v="Printer"/>
    <s v="Electronics"/>
    <x v="3"/>
    <n v="8"/>
    <n v="1545.24"/>
    <n v="1049.75"/>
    <n v="495.49"/>
    <s v="Standard"/>
  </r>
  <r>
    <x v="225"/>
    <x v="110"/>
    <d v="2024-06-14T00:00:00"/>
    <n v="4"/>
    <x v="1"/>
    <s v="Monitor"/>
    <s v="Electronics"/>
    <x v="2"/>
    <n v="10"/>
    <n v="1443.17"/>
    <n v="1165.51"/>
    <n v="277.66000000000008"/>
    <s v="Standard"/>
  </r>
  <r>
    <x v="226"/>
    <x v="170"/>
    <d v="2024-06-30T00:00:00"/>
    <n v="5"/>
    <x v="1"/>
    <s v="Laptop"/>
    <s v="Electronics"/>
    <x v="1"/>
    <n v="4"/>
    <n v="1029.81"/>
    <n v="672.44"/>
    <n v="357.36999999999989"/>
    <s v="Express"/>
  </r>
  <r>
    <x v="227"/>
    <x v="171"/>
    <d v="2024-04-02T00:00:00"/>
    <n v="6"/>
    <x v="1"/>
    <s v="Monitor"/>
    <s v="Accessories"/>
    <x v="0"/>
    <n v="7"/>
    <n v="1036.98"/>
    <n v="672.5"/>
    <n v="364.48"/>
    <s v="Same Day"/>
  </r>
  <r>
    <x v="228"/>
    <x v="172"/>
    <d v="2024-03-26T00:00:00"/>
    <n v="7"/>
    <x v="0"/>
    <s v="Phone"/>
    <s v="Electronics"/>
    <x v="0"/>
    <n v="7"/>
    <n v="328.65"/>
    <n v="250.32"/>
    <n v="78.329999999999984"/>
    <s v="Same Day"/>
  </r>
  <r>
    <x v="229"/>
    <x v="84"/>
    <d v="2024-12-26T00:00:00"/>
    <n v="5"/>
    <x v="0"/>
    <s v="Router"/>
    <s v="Electronics"/>
    <x v="0"/>
    <n v="2"/>
    <n v="784.88"/>
    <n v="508.73"/>
    <n v="276.14999999999998"/>
    <s v="Express"/>
  </r>
  <r>
    <x v="230"/>
    <x v="173"/>
    <d v="2024-07-03T00:00:00"/>
    <n v="9"/>
    <x v="0"/>
    <s v="Laptop"/>
    <s v="Electronics"/>
    <x v="1"/>
    <n v="10"/>
    <n v="680.98"/>
    <n v="424.29"/>
    <n v="256.69"/>
    <s v="Standard"/>
  </r>
  <r>
    <x v="231"/>
    <x v="174"/>
    <d v="2024-07-04T00:00:00"/>
    <n v="6"/>
    <x v="1"/>
    <s v="Monitor"/>
    <s v="Electronics"/>
    <x v="2"/>
    <n v="4"/>
    <n v="1094.5899999999999"/>
    <n v="847.53"/>
    <n v="247.05999999999995"/>
    <s v="Same Day"/>
  </r>
  <r>
    <x v="232"/>
    <x v="55"/>
    <d v="2024-06-08T00:00:00"/>
    <n v="6"/>
    <x v="0"/>
    <s v="Printer"/>
    <s v="Electronics"/>
    <x v="3"/>
    <n v="7"/>
    <n v="1201.5899999999999"/>
    <n v="810.22"/>
    <n v="391.36999999999989"/>
    <s v="Express"/>
  </r>
  <r>
    <x v="233"/>
    <x v="175"/>
    <d v="2024-02-01T00:00:00"/>
    <n v="4"/>
    <x v="2"/>
    <s v="Laptop"/>
    <s v="Electronics"/>
    <x v="1"/>
    <n v="5"/>
    <n v="228.27"/>
    <n v="179.4"/>
    <n v="48.870000000000005"/>
    <s v="Same Day"/>
  </r>
  <r>
    <x v="234"/>
    <x v="128"/>
    <d v="2024-10-05T00:00:00"/>
    <n v="10"/>
    <x v="3"/>
    <s v="Monitor"/>
    <s v="Electronics"/>
    <x v="1"/>
    <n v="4"/>
    <n v="1657.53"/>
    <n v="1280.8599999999999"/>
    <n v="376.67000000000007"/>
    <s v="Same Day"/>
  </r>
  <r>
    <x v="235"/>
    <x v="176"/>
    <d v="2024-03-31T00:00:00"/>
    <n v="6"/>
    <x v="0"/>
    <s v="Laptop"/>
    <s v="Accessories"/>
    <x v="2"/>
    <n v="2"/>
    <n v="653.53"/>
    <n v="480.26"/>
    <n v="173.26999999999998"/>
    <s v="Same Day"/>
  </r>
  <r>
    <x v="236"/>
    <x v="160"/>
    <d v="2024-01-13T00:00:00"/>
    <n v="2"/>
    <x v="3"/>
    <s v="Router"/>
    <s v="Electronics"/>
    <x v="2"/>
    <n v="10"/>
    <n v="1082.99"/>
    <n v="803.19"/>
    <n v="279.79999999999995"/>
    <s v="Express"/>
  </r>
  <r>
    <x v="237"/>
    <x v="177"/>
    <d v="2024-08-20T00:00:00"/>
    <n v="8"/>
    <x v="1"/>
    <s v="Printer"/>
    <s v="Accessories"/>
    <x v="0"/>
    <n v="9"/>
    <n v="220.61"/>
    <n v="156.12"/>
    <n v="64.490000000000009"/>
    <s v="Same Day"/>
  </r>
  <r>
    <x v="238"/>
    <x v="0"/>
    <d v="2024-05-30T00:00:00"/>
    <n v="5"/>
    <x v="0"/>
    <s v="Router"/>
    <s v="Electronics"/>
    <x v="0"/>
    <n v="8"/>
    <n v="941.68"/>
    <n v="578.19000000000005"/>
    <n v="363.4899999999999"/>
    <s v="Same Day"/>
  </r>
  <r>
    <x v="239"/>
    <x v="178"/>
    <d v="2024-02-02T00:00:00"/>
    <n v="8"/>
    <x v="1"/>
    <s v="Printer"/>
    <s v="Electronics"/>
    <x v="2"/>
    <n v="10"/>
    <n v="1572.43"/>
    <n v="1117.99"/>
    <n v="454.44000000000005"/>
    <s v="Standard"/>
  </r>
  <r>
    <x v="240"/>
    <x v="179"/>
    <d v="2024-06-08T00:00:00"/>
    <n v="4"/>
    <x v="2"/>
    <s v="Router"/>
    <s v="Electronics"/>
    <x v="3"/>
    <n v="2"/>
    <n v="746.61"/>
    <n v="548.09"/>
    <n v="198.51999999999998"/>
    <s v="Standard"/>
  </r>
  <r>
    <x v="241"/>
    <x v="60"/>
    <d v="2024-08-06T00:00:00"/>
    <n v="9"/>
    <x v="1"/>
    <s v="Router"/>
    <s v="Accessories"/>
    <x v="2"/>
    <n v="3"/>
    <n v="526.17999999999995"/>
    <n v="445.77"/>
    <n v="80.409999999999968"/>
    <s v="Same Day"/>
  </r>
  <r>
    <x v="242"/>
    <x v="81"/>
    <d v="2024-09-29T00:00:00"/>
    <n v="7"/>
    <x v="1"/>
    <s v="Laptop"/>
    <s v="Accessories"/>
    <x v="2"/>
    <n v="4"/>
    <n v="1691.99"/>
    <n v="1348.42"/>
    <n v="343.56999999999994"/>
    <s v="Express"/>
  </r>
  <r>
    <x v="243"/>
    <x v="180"/>
    <d v="2024-07-29T00:00:00"/>
    <n v="4"/>
    <x v="2"/>
    <s v="Laptop"/>
    <s v="Electronics"/>
    <x v="3"/>
    <n v="6"/>
    <n v="1668.27"/>
    <n v="1407.51"/>
    <n v="260.76"/>
    <s v="Standard"/>
  </r>
  <r>
    <x v="244"/>
    <x v="180"/>
    <d v="2024-07-31T00:00:00"/>
    <n v="6"/>
    <x v="2"/>
    <s v="Laptop"/>
    <s v="Electronics"/>
    <x v="3"/>
    <n v="9"/>
    <n v="144.68"/>
    <n v="120.87"/>
    <n v="23.810000000000002"/>
    <s v="Express"/>
  </r>
  <r>
    <x v="245"/>
    <x v="17"/>
    <d v="2024-07-04T00:00:00"/>
    <n v="3"/>
    <x v="3"/>
    <s v="Laptop"/>
    <s v="Accessories"/>
    <x v="0"/>
    <n v="2"/>
    <n v="902.1"/>
    <n v="666.49"/>
    <n v="235.61"/>
    <s v="Standard"/>
  </r>
  <r>
    <x v="246"/>
    <x v="88"/>
    <d v="2025-01-09T00:00:00"/>
    <n v="10"/>
    <x v="0"/>
    <s v="Laptop"/>
    <s v="Electronics"/>
    <x v="1"/>
    <n v="1"/>
    <n v="1003.43"/>
    <n v="793.56"/>
    <n v="209.87"/>
    <s v="Express"/>
  </r>
  <r>
    <x v="247"/>
    <x v="65"/>
    <d v="2024-09-11T00:00:00"/>
    <n v="8"/>
    <x v="0"/>
    <s v="Laptop"/>
    <s v="Electronics"/>
    <x v="2"/>
    <n v="10"/>
    <n v="1075.82"/>
    <n v="809.1"/>
    <n v="266.71999999999991"/>
    <s v="Same Day"/>
  </r>
  <r>
    <x v="248"/>
    <x v="102"/>
    <d v="2024-09-14T00:00:00"/>
    <n v="8"/>
    <x v="1"/>
    <s v="Router"/>
    <s v="Accessories"/>
    <x v="3"/>
    <n v="10"/>
    <n v="1301.67"/>
    <n v="1104.6400000000001"/>
    <n v="197.02999999999997"/>
    <s v="Same Day"/>
  </r>
  <r>
    <x v="249"/>
    <x v="181"/>
    <d v="2024-04-14T00:00:00"/>
    <n v="2"/>
    <x v="3"/>
    <s v="Router"/>
    <s v="Electronics"/>
    <x v="0"/>
    <n v="2"/>
    <n v="1390.81"/>
    <n v="1084.42"/>
    <n v="306.38999999999987"/>
    <s v="Same Day"/>
  </r>
  <r>
    <x v="250"/>
    <x v="182"/>
    <d v="2025-01-03T00:00:00"/>
    <n v="7"/>
    <x v="3"/>
    <s v="Phone"/>
    <s v="Accessories"/>
    <x v="0"/>
    <n v="10"/>
    <n v="1176.56"/>
    <n v="890.62"/>
    <n v="285.93999999999994"/>
    <s v="Standard"/>
  </r>
  <r>
    <x v="251"/>
    <x v="177"/>
    <d v="2024-08-21T00:00:00"/>
    <n v="9"/>
    <x v="2"/>
    <s v="Monitor"/>
    <s v="Electronics"/>
    <x v="2"/>
    <n v="5"/>
    <n v="1787.34"/>
    <n v="1434.27"/>
    <n v="353.06999999999994"/>
    <s v="Same Day"/>
  </r>
  <r>
    <x v="252"/>
    <x v="183"/>
    <d v="2024-04-24T00:00:00"/>
    <n v="3"/>
    <x v="0"/>
    <s v="Printer"/>
    <s v="Accessories"/>
    <x v="1"/>
    <n v="10"/>
    <n v="1751.88"/>
    <n v="1082.23"/>
    <n v="669.65000000000009"/>
    <s v="Same Day"/>
  </r>
  <r>
    <x v="253"/>
    <x v="184"/>
    <d v="2024-04-11T00:00:00"/>
    <n v="2"/>
    <x v="2"/>
    <s v="Phone"/>
    <s v="Accessories"/>
    <x v="2"/>
    <n v="3"/>
    <n v="344.51"/>
    <n v="252.65"/>
    <n v="91.859999999999985"/>
    <s v="Same Day"/>
  </r>
  <r>
    <x v="254"/>
    <x v="185"/>
    <d v="2024-06-02T00:00:00"/>
    <n v="2"/>
    <x v="1"/>
    <s v="Printer"/>
    <s v="Accessories"/>
    <x v="2"/>
    <n v="2"/>
    <n v="305.64999999999998"/>
    <n v="187.23"/>
    <n v="118.41999999999999"/>
    <s v="Standard"/>
  </r>
  <r>
    <x v="255"/>
    <x v="178"/>
    <d v="2024-02-03T00:00:00"/>
    <n v="9"/>
    <x v="3"/>
    <s v="Laptop"/>
    <s v="Electronics"/>
    <x v="3"/>
    <n v="9"/>
    <n v="1905.42"/>
    <n v="1311.73"/>
    <n v="593.69000000000005"/>
    <s v="Same Day"/>
  </r>
  <r>
    <x v="256"/>
    <x v="186"/>
    <d v="2024-02-07T00:00:00"/>
    <n v="7"/>
    <x v="2"/>
    <s v="Phone"/>
    <s v="Accessories"/>
    <x v="2"/>
    <n v="6"/>
    <n v="1383.25"/>
    <n v="1102.25"/>
    <n v="281"/>
    <s v="Express"/>
  </r>
  <r>
    <x v="257"/>
    <x v="187"/>
    <d v="2024-08-25T00:00:00"/>
    <n v="10"/>
    <x v="1"/>
    <s v="Router"/>
    <s v="Electronics"/>
    <x v="2"/>
    <n v="4"/>
    <n v="976.08"/>
    <n v="782.38"/>
    <n v="193.70000000000005"/>
    <s v="Standard"/>
  </r>
  <r>
    <x v="258"/>
    <x v="55"/>
    <d v="2024-06-10T00:00:00"/>
    <n v="8"/>
    <x v="0"/>
    <s v="Router"/>
    <s v="Electronics"/>
    <x v="1"/>
    <n v="5"/>
    <n v="1885.42"/>
    <n v="1436.17"/>
    <n v="449.25"/>
    <s v="Express"/>
  </r>
  <r>
    <x v="259"/>
    <x v="58"/>
    <d v="2024-09-16T00:00:00"/>
    <n v="6"/>
    <x v="2"/>
    <s v="Phone"/>
    <s v="Electronics"/>
    <x v="3"/>
    <n v="4"/>
    <n v="743.4"/>
    <n v="629.85"/>
    <n v="113.54999999999995"/>
    <s v="Same Day"/>
  </r>
  <r>
    <x v="260"/>
    <x v="188"/>
    <d v="2024-03-18T00:00:00"/>
    <n v="8"/>
    <x v="0"/>
    <s v="Router"/>
    <s v="Electronics"/>
    <x v="3"/>
    <n v="9"/>
    <n v="1075.96"/>
    <n v="686.81"/>
    <n v="389.15000000000009"/>
    <s v="Standard"/>
  </r>
  <r>
    <x v="261"/>
    <x v="37"/>
    <d v="2024-10-29T00:00:00"/>
    <n v="3"/>
    <x v="3"/>
    <s v="Router"/>
    <s v="Electronics"/>
    <x v="3"/>
    <n v="5"/>
    <n v="982.6"/>
    <n v="685.14"/>
    <n v="297.46000000000004"/>
    <s v="Same Day"/>
  </r>
  <r>
    <x v="262"/>
    <x v="189"/>
    <d v="2024-10-12T00:00:00"/>
    <n v="6"/>
    <x v="2"/>
    <s v="Printer"/>
    <s v="Accessories"/>
    <x v="1"/>
    <n v="3"/>
    <n v="1145.99"/>
    <n v="812.79"/>
    <n v="333.20000000000005"/>
    <s v="Standard"/>
  </r>
  <r>
    <x v="263"/>
    <x v="147"/>
    <d v="2024-10-10T00:00:00"/>
    <n v="6"/>
    <x v="2"/>
    <s v="Laptop"/>
    <s v="Electronics"/>
    <x v="3"/>
    <n v="5"/>
    <n v="974.19"/>
    <n v="813.34"/>
    <n v="160.85000000000002"/>
    <s v="Express"/>
  </r>
  <r>
    <x v="264"/>
    <x v="67"/>
    <d v="2024-03-24T00:00:00"/>
    <n v="2"/>
    <x v="1"/>
    <s v="Laptop"/>
    <s v="Electronics"/>
    <x v="0"/>
    <n v="4"/>
    <n v="192.95"/>
    <n v="123.42"/>
    <n v="69.529999999999987"/>
    <s v="Same Day"/>
  </r>
  <r>
    <x v="265"/>
    <x v="190"/>
    <d v="2024-11-13T00:00:00"/>
    <n v="8"/>
    <x v="2"/>
    <s v="Printer"/>
    <s v="Accessories"/>
    <x v="0"/>
    <n v="8"/>
    <n v="1376.01"/>
    <n v="1074.49"/>
    <n v="301.52"/>
    <s v="Standard"/>
  </r>
  <r>
    <x v="266"/>
    <x v="97"/>
    <d v="2024-01-25T00:00:00"/>
    <n v="2"/>
    <x v="1"/>
    <s v="Phone"/>
    <s v="Electronics"/>
    <x v="1"/>
    <n v="5"/>
    <n v="468.55"/>
    <n v="287.27999999999997"/>
    <n v="181.27000000000004"/>
    <s v="Express"/>
  </r>
  <r>
    <x v="267"/>
    <x v="191"/>
    <d v="2024-08-03T00:00:00"/>
    <n v="3"/>
    <x v="2"/>
    <s v="Printer"/>
    <s v="Accessories"/>
    <x v="3"/>
    <n v="5"/>
    <n v="1823.79"/>
    <n v="1298.23"/>
    <n v="525.55999999999995"/>
    <s v="Standard"/>
  </r>
  <r>
    <x v="268"/>
    <x v="165"/>
    <d v="2024-01-03T00:00:00"/>
    <n v="2"/>
    <x v="0"/>
    <s v="Phone"/>
    <s v="Electronics"/>
    <x v="2"/>
    <n v="9"/>
    <n v="997.54"/>
    <n v="757.85"/>
    <n v="239.68999999999994"/>
    <s v="Express"/>
  </r>
  <r>
    <x v="269"/>
    <x v="192"/>
    <d v="2024-01-31T00:00:00"/>
    <n v="4"/>
    <x v="0"/>
    <s v="Router"/>
    <s v="Accessories"/>
    <x v="1"/>
    <n v="4"/>
    <n v="971.3"/>
    <n v="656.29"/>
    <n v="315.01"/>
    <s v="Express"/>
  </r>
  <r>
    <x v="270"/>
    <x v="73"/>
    <d v="2024-11-06T00:00:00"/>
    <n v="4"/>
    <x v="3"/>
    <s v="Printer"/>
    <s v="Electronics"/>
    <x v="2"/>
    <n v="6"/>
    <n v="108.03"/>
    <n v="87.92"/>
    <n v="20.11"/>
    <s v="Standard"/>
  </r>
  <r>
    <x v="271"/>
    <x v="130"/>
    <d v="2024-05-25T00:00:00"/>
    <n v="10"/>
    <x v="2"/>
    <s v="Router"/>
    <s v="Accessories"/>
    <x v="3"/>
    <n v="6"/>
    <n v="1333.47"/>
    <n v="1085.6400000000001"/>
    <n v="247.82999999999993"/>
    <s v="Express"/>
  </r>
  <r>
    <x v="272"/>
    <x v="98"/>
    <d v="2024-02-28T00:00:00"/>
    <n v="6"/>
    <x v="1"/>
    <s v="Router"/>
    <s v="Electronics"/>
    <x v="0"/>
    <n v="6"/>
    <n v="686.59"/>
    <n v="445.61"/>
    <n v="240.98000000000002"/>
    <s v="Same Day"/>
  </r>
  <r>
    <x v="273"/>
    <x v="111"/>
    <d v="2024-11-14T00:00:00"/>
    <n v="10"/>
    <x v="0"/>
    <s v="Laptop"/>
    <s v="Electronics"/>
    <x v="3"/>
    <n v="2"/>
    <n v="275.77999999999997"/>
    <n v="206.27"/>
    <n v="69.509999999999962"/>
    <s v="Same Day"/>
  </r>
  <r>
    <x v="274"/>
    <x v="193"/>
    <d v="2024-10-10T00:00:00"/>
    <n v="3"/>
    <x v="2"/>
    <s v="Router"/>
    <s v="Electronics"/>
    <x v="0"/>
    <n v="1"/>
    <n v="1507.06"/>
    <n v="983.43"/>
    <n v="523.63"/>
    <s v="Same Day"/>
  </r>
  <r>
    <x v="275"/>
    <x v="194"/>
    <d v="2024-02-22T00:00:00"/>
    <n v="5"/>
    <x v="0"/>
    <s v="Printer"/>
    <s v="Accessories"/>
    <x v="1"/>
    <n v="1"/>
    <n v="952.64"/>
    <n v="588.65"/>
    <n v="363.99"/>
    <s v="Express"/>
  </r>
  <r>
    <x v="276"/>
    <x v="63"/>
    <d v="2024-07-12T00:00:00"/>
    <n v="2"/>
    <x v="2"/>
    <s v="Printer"/>
    <s v="Electronics"/>
    <x v="2"/>
    <n v="9"/>
    <n v="1788.34"/>
    <n v="1468.38"/>
    <n v="319.95999999999981"/>
    <s v="Express"/>
  </r>
  <r>
    <x v="277"/>
    <x v="195"/>
    <d v="2024-06-25T00:00:00"/>
    <n v="2"/>
    <x v="3"/>
    <s v="Monitor"/>
    <s v="Accessories"/>
    <x v="0"/>
    <n v="6"/>
    <n v="315.23"/>
    <n v="251.24"/>
    <n v="63.990000000000009"/>
    <s v="Same Day"/>
  </r>
  <r>
    <x v="278"/>
    <x v="196"/>
    <d v="2024-11-19T00:00:00"/>
    <n v="2"/>
    <x v="1"/>
    <s v="Laptop"/>
    <s v="Accessories"/>
    <x v="0"/>
    <n v="10"/>
    <n v="1885.5"/>
    <n v="1333.59"/>
    <n v="551.91000000000008"/>
    <s v="Standard"/>
  </r>
  <r>
    <x v="279"/>
    <x v="197"/>
    <d v="2024-12-25T00:00:00"/>
    <n v="8"/>
    <x v="2"/>
    <s v="Printer"/>
    <s v="Electronics"/>
    <x v="1"/>
    <n v="5"/>
    <n v="1969.21"/>
    <n v="1353.34"/>
    <n v="615.87000000000012"/>
    <s v="Same Day"/>
  </r>
  <r>
    <x v="280"/>
    <x v="198"/>
    <d v="2024-06-10T00:00:00"/>
    <n v="2"/>
    <x v="1"/>
    <s v="Router"/>
    <s v="Electronics"/>
    <x v="1"/>
    <n v="9"/>
    <n v="1547.63"/>
    <n v="1085.68"/>
    <n v="461.95000000000005"/>
    <s v="Express"/>
  </r>
  <r>
    <x v="281"/>
    <x v="199"/>
    <d v="2024-10-10T00:00:00"/>
    <n v="2"/>
    <x v="3"/>
    <s v="Monitor"/>
    <s v="Electronics"/>
    <x v="3"/>
    <n v="10"/>
    <n v="221.44"/>
    <n v="177.7"/>
    <n v="43.740000000000009"/>
    <s v="Standard"/>
  </r>
  <r>
    <x v="282"/>
    <x v="159"/>
    <d v="2024-12-08T00:00:00"/>
    <n v="10"/>
    <x v="0"/>
    <s v="Monitor"/>
    <s v="Accessories"/>
    <x v="0"/>
    <n v="1"/>
    <n v="914.01"/>
    <n v="735.3"/>
    <n v="178.71000000000004"/>
    <s v="Standard"/>
  </r>
  <r>
    <x v="283"/>
    <x v="72"/>
    <d v="2024-03-11T00:00:00"/>
    <n v="3"/>
    <x v="0"/>
    <s v="Router"/>
    <s v="Accessories"/>
    <x v="0"/>
    <n v="2"/>
    <n v="998.73"/>
    <n v="776.69"/>
    <n v="222.03999999999996"/>
    <s v="Express"/>
  </r>
  <r>
    <x v="284"/>
    <x v="200"/>
    <d v="2024-06-02T00:00:00"/>
    <n v="4"/>
    <x v="3"/>
    <s v="Phone"/>
    <s v="Electronics"/>
    <x v="3"/>
    <n v="6"/>
    <n v="483.45"/>
    <n v="372.11"/>
    <n v="111.33999999999997"/>
    <s v="Same Day"/>
  </r>
  <r>
    <x v="285"/>
    <x v="108"/>
    <d v="2024-01-26T00:00:00"/>
    <n v="9"/>
    <x v="0"/>
    <s v="Monitor"/>
    <s v="Electronics"/>
    <x v="3"/>
    <n v="5"/>
    <n v="1015"/>
    <n v="808.53"/>
    <n v="206.47000000000003"/>
    <s v="Same Day"/>
  </r>
  <r>
    <x v="286"/>
    <x v="10"/>
    <d v="2024-11-05T00:00:00"/>
    <n v="8"/>
    <x v="3"/>
    <s v="Monitor"/>
    <s v="Electronics"/>
    <x v="3"/>
    <n v="8"/>
    <n v="1813.32"/>
    <n v="1214.8399999999999"/>
    <n v="598.48"/>
    <s v="Standard"/>
  </r>
  <r>
    <x v="287"/>
    <x v="88"/>
    <d v="2025-01-09T00:00:00"/>
    <n v="10"/>
    <x v="2"/>
    <s v="Printer"/>
    <s v="Accessories"/>
    <x v="3"/>
    <n v="8"/>
    <n v="1575.23"/>
    <n v="1278.81"/>
    <n v="296.42000000000007"/>
    <s v="Same Day"/>
  </r>
  <r>
    <x v="288"/>
    <x v="201"/>
    <d v="2024-04-07T00:00:00"/>
    <n v="7"/>
    <x v="1"/>
    <s v="Monitor"/>
    <s v="Accessories"/>
    <x v="2"/>
    <n v="7"/>
    <n v="1307.3699999999999"/>
    <n v="820.09"/>
    <n v="487.27999999999986"/>
    <s v="Same Day"/>
  </r>
  <r>
    <x v="289"/>
    <x v="200"/>
    <d v="2024-05-31T00:00:00"/>
    <n v="2"/>
    <x v="3"/>
    <s v="Router"/>
    <s v="Accessories"/>
    <x v="1"/>
    <n v="1"/>
    <n v="1972.07"/>
    <n v="1366.62"/>
    <n v="605.45000000000005"/>
    <s v="Same Day"/>
  </r>
  <r>
    <x v="290"/>
    <x v="0"/>
    <d v="2024-06-03T00:00:00"/>
    <n v="9"/>
    <x v="0"/>
    <s v="Phone"/>
    <s v="Accessories"/>
    <x v="0"/>
    <n v="2"/>
    <n v="470.94"/>
    <n v="379.81"/>
    <n v="91.13"/>
    <s v="Standard"/>
  </r>
  <r>
    <x v="291"/>
    <x v="202"/>
    <d v="2025-01-06T00:00:00"/>
    <n v="8"/>
    <x v="2"/>
    <s v="Laptop"/>
    <s v="Electronics"/>
    <x v="2"/>
    <n v="3"/>
    <n v="851.76"/>
    <n v="655.35"/>
    <n v="196.40999999999997"/>
    <s v="Express"/>
  </r>
  <r>
    <x v="292"/>
    <x v="142"/>
    <d v="2024-10-27T00:00:00"/>
    <n v="3"/>
    <x v="2"/>
    <s v="Phone"/>
    <s v="Accessories"/>
    <x v="3"/>
    <n v="6"/>
    <n v="1014.87"/>
    <n v="758.43"/>
    <n v="256.44000000000005"/>
    <s v="Same Day"/>
  </r>
  <r>
    <x v="293"/>
    <x v="186"/>
    <d v="2024-02-02T00:00:00"/>
    <n v="2"/>
    <x v="0"/>
    <s v="Printer"/>
    <s v="Electronics"/>
    <x v="0"/>
    <n v="8"/>
    <n v="1299.56"/>
    <n v="851.66"/>
    <n v="447.9"/>
    <s v="Same Day"/>
  </r>
  <r>
    <x v="294"/>
    <x v="55"/>
    <d v="2024-06-08T00:00:00"/>
    <n v="6"/>
    <x v="2"/>
    <s v="Monitor"/>
    <s v="Accessories"/>
    <x v="3"/>
    <n v="8"/>
    <n v="165.68"/>
    <n v="125.36"/>
    <n v="40.320000000000007"/>
    <s v="Express"/>
  </r>
  <r>
    <x v="295"/>
    <x v="203"/>
    <d v="2024-01-26T00:00:00"/>
    <n v="7"/>
    <x v="3"/>
    <s v="Phone"/>
    <s v="Accessories"/>
    <x v="1"/>
    <n v="9"/>
    <n v="162.27000000000001"/>
    <n v="121.37"/>
    <n v="40.900000000000006"/>
    <s v="Standard"/>
  </r>
  <r>
    <x v="296"/>
    <x v="204"/>
    <d v="2024-11-10T00:00:00"/>
    <n v="9"/>
    <x v="1"/>
    <s v="Phone"/>
    <s v="Accessories"/>
    <x v="1"/>
    <n v="8"/>
    <n v="1432.85"/>
    <n v="1154.53"/>
    <n v="278.31999999999994"/>
    <s v="Same Day"/>
  </r>
  <r>
    <x v="297"/>
    <x v="148"/>
    <d v="2024-03-30T00:00:00"/>
    <n v="7"/>
    <x v="2"/>
    <s v="Laptop"/>
    <s v="Accessories"/>
    <x v="1"/>
    <n v="6"/>
    <n v="858.35"/>
    <n v="694.1"/>
    <n v="164.25"/>
    <s v="Express"/>
  </r>
  <r>
    <x v="298"/>
    <x v="160"/>
    <d v="2024-01-17T00:00:00"/>
    <n v="6"/>
    <x v="2"/>
    <s v="Monitor"/>
    <s v="Electronics"/>
    <x v="1"/>
    <n v="3"/>
    <n v="1044.1400000000001"/>
    <n v="881.07"/>
    <n v="163.07000000000005"/>
    <s v="Same Day"/>
  </r>
  <r>
    <x v="299"/>
    <x v="205"/>
    <d v="2024-02-26T00:00:00"/>
    <n v="10"/>
    <x v="1"/>
    <s v="Laptop"/>
    <s v="Accessories"/>
    <x v="1"/>
    <n v="5"/>
    <n v="1416.66"/>
    <n v="1102.3699999999999"/>
    <n v="314.29000000000019"/>
    <s v="Standard"/>
  </r>
  <r>
    <x v="300"/>
    <x v="206"/>
    <d v="2024-07-28T00:00:00"/>
    <n v="8"/>
    <x v="2"/>
    <s v="Printer"/>
    <s v="Electronics"/>
    <x v="0"/>
    <n v="6"/>
    <n v="632.32000000000005"/>
    <n v="469.52"/>
    <n v="162.80000000000007"/>
    <s v="Same Day"/>
  </r>
  <r>
    <x v="301"/>
    <x v="207"/>
    <d v="2025-01-02T00:00:00"/>
    <n v="9"/>
    <x v="0"/>
    <s v="Router"/>
    <s v="Electronics"/>
    <x v="1"/>
    <n v="3"/>
    <n v="309.56"/>
    <n v="198.14"/>
    <n v="111.42000000000002"/>
    <s v="Express"/>
  </r>
  <r>
    <x v="302"/>
    <x v="208"/>
    <d v="2024-03-02T00:00:00"/>
    <n v="3"/>
    <x v="0"/>
    <s v="Laptop"/>
    <s v="Electronics"/>
    <x v="2"/>
    <n v="1"/>
    <n v="1573.38"/>
    <n v="1294.82"/>
    <n v="278.56000000000017"/>
    <s v="Express"/>
  </r>
  <r>
    <x v="303"/>
    <x v="39"/>
    <d v="2024-09-05T00:00:00"/>
    <n v="5"/>
    <x v="2"/>
    <s v="Printer"/>
    <s v="Accessories"/>
    <x v="3"/>
    <n v="1"/>
    <n v="1539.68"/>
    <n v="1240.68"/>
    <n v="299"/>
    <s v="Express"/>
  </r>
  <r>
    <x v="304"/>
    <x v="209"/>
    <d v="2024-10-19T00:00:00"/>
    <n v="7"/>
    <x v="0"/>
    <s v="Router"/>
    <s v="Accessories"/>
    <x v="0"/>
    <n v="4"/>
    <n v="1947.26"/>
    <n v="1650.22"/>
    <n v="297.03999999999996"/>
    <s v="Express"/>
  </r>
  <r>
    <x v="305"/>
    <x v="210"/>
    <d v="2024-03-17T00:00:00"/>
    <n v="5"/>
    <x v="0"/>
    <s v="Laptop"/>
    <s v="Electronics"/>
    <x v="1"/>
    <n v="9"/>
    <n v="1971.58"/>
    <n v="1237.22"/>
    <n v="734.3599999999999"/>
    <s v="Same Day"/>
  </r>
  <r>
    <x v="306"/>
    <x v="211"/>
    <d v="2024-04-14T00:00:00"/>
    <n v="10"/>
    <x v="3"/>
    <s v="Phone"/>
    <s v="Electronics"/>
    <x v="2"/>
    <n v="6"/>
    <n v="1859.53"/>
    <n v="1418.39"/>
    <n v="441.13999999999987"/>
    <s v="Express"/>
  </r>
  <r>
    <x v="307"/>
    <x v="212"/>
    <d v="2024-07-08T00:00:00"/>
    <n v="9"/>
    <x v="3"/>
    <s v="Monitor"/>
    <s v="Accessories"/>
    <x v="1"/>
    <n v="4"/>
    <n v="311.76"/>
    <n v="213.36"/>
    <n v="98.399999999999977"/>
    <s v="Same Day"/>
  </r>
  <r>
    <x v="308"/>
    <x v="70"/>
    <d v="2024-09-03T00:00:00"/>
    <n v="6"/>
    <x v="0"/>
    <s v="Laptop"/>
    <s v="Accessories"/>
    <x v="3"/>
    <n v="8"/>
    <n v="1956.86"/>
    <n v="1437.16"/>
    <n v="519.69999999999982"/>
    <s v="Standard"/>
  </r>
  <r>
    <x v="309"/>
    <x v="213"/>
    <d v="2024-07-06T00:00:00"/>
    <n v="4"/>
    <x v="1"/>
    <s v="Router"/>
    <s v="Accessories"/>
    <x v="1"/>
    <n v="2"/>
    <n v="791.8"/>
    <n v="552.42999999999995"/>
    <n v="239.37"/>
    <s v="Standard"/>
  </r>
  <r>
    <x v="310"/>
    <x v="214"/>
    <d v="2024-12-18T00:00:00"/>
    <n v="9"/>
    <x v="2"/>
    <s v="Laptop"/>
    <s v="Electronics"/>
    <x v="0"/>
    <n v="1"/>
    <n v="1942.77"/>
    <n v="1199.3599999999999"/>
    <n v="743.41000000000008"/>
    <s v="Standard"/>
  </r>
  <r>
    <x v="311"/>
    <x v="161"/>
    <d v="2024-11-29T00:00:00"/>
    <n v="3"/>
    <x v="3"/>
    <s v="Laptop"/>
    <s v="Electronics"/>
    <x v="1"/>
    <n v="10"/>
    <n v="1551.19"/>
    <n v="966.07"/>
    <n v="585.12"/>
    <s v="Express"/>
  </r>
  <r>
    <x v="312"/>
    <x v="50"/>
    <d v="2024-12-12T00:00:00"/>
    <n v="9"/>
    <x v="2"/>
    <s v="Printer"/>
    <s v="Accessories"/>
    <x v="3"/>
    <n v="10"/>
    <n v="1277.02"/>
    <n v="1039.03"/>
    <n v="237.99"/>
    <s v="Standard"/>
  </r>
  <r>
    <x v="313"/>
    <x v="116"/>
    <d v="2024-12-16T00:00:00"/>
    <n v="2"/>
    <x v="3"/>
    <s v="Printer"/>
    <s v="Accessories"/>
    <x v="2"/>
    <n v="6"/>
    <n v="1188.79"/>
    <n v="788.56"/>
    <n v="400.23"/>
    <s v="Standard"/>
  </r>
  <r>
    <x v="314"/>
    <x v="164"/>
    <d v="2024-10-04T00:00:00"/>
    <n v="5"/>
    <x v="3"/>
    <s v="Monitor"/>
    <s v="Electronics"/>
    <x v="0"/>
    <n v="7"/>
    <n v="1921.62"/>
    <n v="1589.23"/>
    <n v="332.38999999999987"/>
    <s v="Standard"/>
  </r>
  <r>
    <x v="315"/>
    <x v="215"/>
    <d v="2024-02-18T00:00:00"/>
    <n v="6"/>
    <x v="3"/>
    <s v="Laptop"/>
    <s v="Electronics"/>
    <x v="2"/>
    <n v="7"/>
    <n v="1243.69"/>
    <n v="936.83"/>
    <n v="306.86"/>
    <s v="Same Day"/>
  </r>
  <r>
    <x v="316"/>
    <x v="216"/>
    <d v="2024-12-25T00:00:00"/>
    <n v="2"/>
    <x v="0"/>
    <s v="Monitor"/>
    <s v="Electronics"/>
    <x v="3"/>
    <n v="1"/>
    <n v="1302.8"/>
    <n v="797.81"/>
    <n v="504.99"/>
    <s v="Same Day"/>
  </r>
  <r>
    <x v="317"/>
    <x v="217"/>
    <d v="2024-04-24T00:00:00"/>
    <n v="10"/>
    <x v="3"/>
    <s v="Router"/>
    <s v="Electronics"/>
    <x v="0"/>
    <n v="3"/>
    <n v="1875.15"/>
    <n v="1343.41"/>
    <n v="531.74"/>
    <s v="Express"/>
  </r>
  <r>
    <x v="318"/>
    <x v="218"/>
    <d v="2024-08-14T00:00:00"/>
    <n v="3"/>
    <x v="1"/>
    <s v="Phone"/>
    <s v="Electronics"/>
    <x v="1"/>
    <n v="9"/>
    <n v="464.78"/>
    <n v="372.83"/>
    <n v="91.949999999999989"/>
    <s v="Express"/>
  </r>
  <r>
    <x v="319"/>
    <x v="97"/>
    <d v="2024-02-01T00:00:00"/>
    <n v="9"/>
    <x v="3"/>
    <s v="Phone"/>
    <s v="Accessories"/>
    <x v="1"/>
    <n v="2"/>
    <n v="1124.81"/>
    <n v="850.03"/>
    <n v="274.77999999999997"/>
    <s v="Express"/>
  </r>
  <r>
    <x v="320"/>
    <x v="219"/>
    <d v="2024-08-06T00:00:00"/>
    <n v="4"/>
    <x v="0"/>
    <s v="Router"/>
    <s v="Electronics"/>
    <x v="3"/>
    <n v="10"/>
    <n v="1476.66"/>
    <n v="1006.62"/>
    <n v="470.04000000000008"/>
    <s v="Express"/>
  </r>
  <r>
    <x v="321"/>
    <x v="220"/>
    <d v="2024-04-19T00:00:00"/>
    <n v="2"/>
    <x v="3"/>
    <s v="Printer"/>
    <s v="Accessories"/>
    <x v="1"/>
    <n v="8"/>
    <n v="125.01"/>
    <n v="77.930000000000007"/>
    <n v="47.08"/>
    <s v="Express"/>
  </r>
  <r>
    <x v="322"/>
    <x v="221"/>
    <d v="2024-12-03T00:00:00"/>
    <n v="2"/>
    <x v="1"/>
    <s v="Monitor"/>
    <s v="Accessories"/>
    <x v="0"/>
    <n v="1"/>
    <n v="1854.3"/>
    <n v="1380.64"/>
    <n v="473.65999999999985"/>
    <s v="Express"/>
  </r>
  <r>
    <x v="323"/>
    <x v="142"/>
    <d v="2024-10-27T00:00:00"/>
    <n v="3"/>
    <x v="2"/>
    <s v="Router"/>
    <s v="Electronics"/>
    <x v="3"/>
    <n v="6"/>
    <n v="1851.46"/>
    <n v="1404.89"/>
    <n v="446.56999999999994"/>
    <s v="Standard"/>
  </r>
  <r>
    <x v="324"/>
    <x v="59"/>
    <d v="2024-07-30T00:00:00"/>
    <n v="3"/>
    <x v="0"/>
    <s v="Printer"/>
    <s v="Accessories"/>
    <x v="2"/>
    <n v="5"/>
    <n v="553.91"/>
    <n v="363.63"/>
    <n v="190.27999999999997"/>
    <s v="Standard"/>
  </r>
  <r>
    <x v="325"/>
    <x v="222"/>
    <d v="2024-10-20T00:00:00"/>
    <n v="4"/>
    <x v="2"/>
    <s v="Router"/>
    <s v="Accessories"/>
    <x v="3"/>
    <n v="1"/>
    <n v="357.84"/>
    <n v="231.35"/>
    <n v="126.48999999999998"/>
    <s v="Standard"/>
  </r>
  <r>
    <x v="326"/>
    <x v="107"/>
    <d v="2024-09-07T00:00:00"/>
    <n v="3"/>
    <x v="2"/>
    <s v="Monitor"/>
    <s v="Electronics"/>
    <x v="0"/>
    <n v="6"/>
    <n v="773.41"/>
    <n v="638.46"/>
    <n v="134.94999999999993"/>
    <s v="Standard"/>
  </r>
  <r>
    <x v="327"/>
    <x v="214"/>
    <d v="2024-12-11T00:00:00"/>
    <n v="2"/>
    <x v="3"/>
    <s v="Printer"/>
    <s v="Accessories"/>
    <x v="2"/>
    <n v="1"/>
    <n v="286.55"/>
    <n v="229.23"/>
    <n v="57.320000000000022"/>
    <s v="Standard"/>
  </r>
  <r>
    <x v="328"/>
    <x v="223"/>
    <d v="2024-08-26T00:00:00"/>
    <n v="5"/>
    <x v="1"/>
    <s v="Printer"/>
    <s v="Accessories"/>
    <x v="1"/>
    <n v="1"/>
    <n v="1519.56"/>
    <n v="928.54"/>
    <n v="591.02"/>
    <s v="Same Day"/>
  </r>
  <r>
    <x v="329"/>
    <x v="224"/>
    <d v="2024-11-21T00:00:00"/>
    <n v="8"/>
    <x v="2"/>
    <s v="Phone"/>
    <s v="Accessories"/>
    <x v="1"/>
    <n v="4"/>
    <n v="1627.2"/>
    <n v="1097.54"/>
    <n v="529.66000000000008"/>
    <s v="Same Day"/>
  </r>
  <r>
    <x v="330"/>
    <x v="225"/>
    <d v="2024-10-17T00:00:00"/>
    <n v="3"/>
    <x v="1"/>
    <s v="Laptop"/>
    <s v="Electronics"/>
    <x v="2"/>
    <n v="6"/>
    <n v="1638.81"/>
    <n v="1013.11"/>
    <n v="625.69999999999993"/>
    <s v="Express"/>
  </r>
  <r>
    <x v="331"/>
    <x v="58"/>
    <d v="2024-09-17T00:00:00"/>
    <n v="7"/>
    <x v="3"/>
    <s v="Router"/>
    <s v="Accessories"/>
    <x v="1"/>
    <n v="9"/>
    <n v="1367.7"/>
    <n v="1055.17"/>
    <n v="312.52999999999997"/>
    <s v="Standard"/>
  </r>
  <r>
    <x v="332"/>
    <x v="70"/>
    <d v="2024-09-04T00:00:00"/>
    <n v="7"/>
    <x v="2"/>
    <s v="Phone"/>
    <s v="Electronics"/>
    <x v="3"/>
    <n v="4"/>
    <n v="1277.71"/>
    <n v="907.26"/>
    <n v="370.45000000000005"/>
    <s v="Same Day"/>
  </r>
  <r>
    <x v="333"/>
    <x v="175"/>
    <d v="2024-02-02T00:00:00"/>
    <n v="5"/>
    <x v="2"/>
    <s v="Phone"/>
    <s v="Accessories"/>
    <x v="0"/>
    <n v="6"/>
    <n v="472.26"/>
    <n v="289.47000000000003"/>
    <n v="182.78999999999996"/>
    <s v="Standard"/>
  </r>
  <r>
    <x v="334"/>
    <x v="226"/>
    <d v="2024-10-08T00:00:00"/>
    <n v="10"/>
    <x v="1"/>
    <s v="Monitor"/>
    <s v="Electronics"/>
    <x v="2"/>
    <n v="5"/>
    <n v="1834.52"/>
    <n v="1404.06"/>
    <n v="430.46000000000004"/>
    <s v="Express"/>
  </r>
  <r>
    <x v="335"/>
    <x v="127"/>
    <d v="2024-05-02T00:00:00"/>
    <n v="10"/>
    <x v="1"/>
    <s v="Printer"/>
    <s v="Electronics"/>
    <x v="2"/>
    <n v="10"/>
    <n v="627.99"/>
    <n v="444.22"/>
    <n v="183.76999999999998"/>
    <s v="Express"/>
  </r>
  <r>
    <x v="336"/>
    <x v="11"/>
    <d v="2024-07-24T00:00:00"/>
    <n v="8"/>
    <x v="1"/>
    <s v="Laptop"/>
    <s v="Accessories"/>
    <x v="1"/>
    <n v="8"/>
    <n v="1166.29"/>
    <n v="755.7"/>
    <n v="410.58999999999992"/>
    <s v="Express"/>
  </r>
  <r>
    <x v="337"/>
    <x v="227"/>
    <d v="2024-05-19T00:00:00"/>
    <n v="5"/>
    <x v="0"/>
    <s v="Laptop"/>
    <s v="Accessories"/>
    <x v="1"/>
    <n v="10"/>
    <n v="1556.27"/>
    <n v="1176.52"/>
    <n v="379.75"/>
    <s v="Express"/>
  </r>
  <r>
    <x v="338"/>
    <x v="213"/>
    <d v="2024-07-09T00:00:00"/>
    <n v="7"/>
    <x v="1"/>
    <s v="Phone"/>
    <s v="Accessories"/>
    <x v="3"/>
    <n v="1"/>
    <n v="1619.89"/>
    <n v="1296.46"/>
    <n v="323.43000000000006"/>
    <s v="Express"/>
  </r>
  <r>
    <x v="339"/>
    <x v="68"/>
    <d v="2024-06-26T00:00:00"/>
    <n v="7"/>
    <x v="3"/>
    <s v="Printer"/>
    <s v="Electronics"/>
    <x v="3"/>
    <n v="8"/>
    <n v="1929.36"/>
    <n v="1513.79"/>
    <n v="415.56999999999994"/>
    <s v="Express"/>
  </r>
  <r>
    <x v="340"/>
    <x v="228"/>
    <d v="2024-02-17T00:00:00"/>
    <n v="4"/>
    <x v="1"/>
    <s v="Phone"/>
    <s v="Electronics"/>
    <x v="3"/>
    <n v="3"/>
    <n v="805.9"/>
    <n v="678.74"/>
    <n v="127.15999999999997"/>
    <s v="Express"/>
  </r>
  <r>
    <x v="341"/>
    <x v="140"/>
    <d v="2024-08-19T00:00:00"/>
    <n v="5"/>
    <x v="1"/>
    <s v="Monitor"/>
    <s v="Electronics"/>
    <x v="3"/>
    <n v="9"/>
    <n v="677.58"/>
    <n v="493.46"/>
    <n v="184.12000000000006"/>
    <s v="Express"/>
  </r>
  <r>
    <x v="342"/>
    <x v="159"/>
    <d v="2024-12-03T00:00:00"/>
    <n v="5"/>
    <x v="3"/>
    <s v="Router"/>
    <s v="Accessories"/>
    <x v="0"/>
    <n v="10"/>
    <n v="882.98"/>
    <n v="677.03"/>
    <n v="205.95000000000005"/>
    <s v="Express"/>
  </r>
  <r>
    <x v="343"/>
    <x v="25"/>
    <d v="2024-08-02T00:00:00"/>
    <n v="10"/>
    <x v="0"/>
    <s v="Monitor"/>
    <s v="Electronics"/>
    <x v="2"/>
    <n v="9"/>
    <n v="1834.3"/>
    <n v="1131.03"/>
    <n v="703.27"/>
    <s v="Express"/>
  </r>
  <r>
    <x v="344"/>
    <x v="229"/>
    <d v="2024-09-15T00:00:00"/>
    <n v="4"/>
    <x v="3"/>
    <s v="Laptop"/>
    <s v="Electronics"/>
    <x v="3"/>
    <n v="2"/>
    <n v="963.79"/>
    <n v="588.72"/>
    <n v="375.06999999999994"/>
    <s v="Same Day"/>
  </r>
  <r>
    <x v="345"/>
    <x v="230"/>
    <d v="2024-06-05T00:00:00"/>
    <n v="8"/>
    <x v="0"/>
    <s v="Phone"/>
    <s v="Electronics"/>
    <x v="2"/>
    <n v="6"/>
    <n v="1217.6099999999999"/>
    <n v="1027.45"/>
    <n v="190.15999999999985"/>
    <s v="Standard"/>
  </r>
  <r>
    <x v="346"/>
    <x v="172"/>
    <d v="2024-03-26T00:00:00"/>
    <n v="7"/>
    <x v="2"/>
    <s v="Printer"/>
    <s v="Electronics"/>
    <x v="3"/>
    <n v="8"/>
    <n v="451.52"/>
    <n v="348.09"/>
    <n v="103.43"/>
    <s v="Same Day"/>
  </r>
  <r>
    <x v="347"/>
    <x v="58"/>
    <d v="2024-09-17T00:00:00"/>
    <n v="7"/>
    <x v="3"/>
    <s v="Laptop"/>
    <s v="Accessories"/>
    <x v="3"/>
    <n v="9"/>
    <n v="1265.8499999999999"/>
    <n v="899.22"/>
    <n v="366.62999999999988"/>
    <s v="Standard"/>
  </r>
  <r>
    <x v="348"/>
    <x v="29"/>
    <d v="2025-01-02T00:00:00"/>
    <n v="7"/>
    <x v="1"/>
    <s v="Phone"/>
    <s v="Electronics"/>
    <x v="1"/>
    <n v="2"/>
    <n v="1549.65"/>
    <n v="1226.3699999999999"/>
    <n v="323.2800000000002"/>
    <s v="Express"/>
  </r>
  <r>
    <x v="349"/>
    <x v="231"/>
    <d v="2024-12-18T00:00:00"/>
    <n v="10"/>
    <x v="0"/>
    <s v="Printer"/>
    <s v="Accessories"/>
    <x v="0"/>
    <n v="10"/>
    <n v="1591.27"/>
    <n v="1210.4000000000001"/>
    <n v="380.86999999999989"/>
    <s v="Standard"/>
  </r>
  <r>
    <x v="350"/>
    <x v="37"/>
    <d v="2024-10-28T00:00:00"/>
    <n v="2"/>
    <x v="1"/>
    <s v="Router"/>
    <s v="Accessories"/>
    <x v="0"/>
    <n v="6"/>
    <n v="638.94000000000005"/>
    <n v="476.4"/>
    <n v="162.54000000000008"/>
    <s v="Express"/>
  </r>
  <r>
    <x v="351"/>
    <x v="232"/>
    <d v="2024-09-25T00:00:00"/>
    <n v="5"/>
    <x v="2"/>
    <s v="Phone"/>
    <s v="Electronics"/>
    <x v="0"/>
    <n v="3"/>
    <n v="1538.26"/>
    <n v="1207.5899999999999"/>
    <n v="330.67000000000007"/>
    <s v="Standard"/>
  </r>
  <r>
    <x v="352"/>
    <x v="233"/>
    <d v="2024-12-24T00:00:00"/>
    <n v="4"/>
    <x v="1"/>
    <s v="Laptop"/>
    <s v="Electronics"/>
    <x v="3"/>
    <n v="6"/>
    <n v="211.63"/>
    <n v="136.28"/>
    <n v="75.349999999999994"/>
    <s v="Same Day"/>
  </r>
  <r>
    <x v="353"/>
    <x v="43"/>
    <d v="2024-04-19T00:00:00"/>
    <n v="6"/>
    <x v="0"/>
    <s v="Monitor"/>
    <s v="Accessories"/>
    <x v="3"/>
    <n v="5"/>
    <n v="1430.86"/>
    <n v="899.03"/>
    <n v="531.82999999999993"/>
    <s v="Standard"/>
  </r>
  <r>
    <x v="354"/>
    <x v="59"/>
    <d v="2024-08-04T00:00:00"/>
    <n v="8"/>
    <x v="2"/>
    <s v="Router"/>
    <s v="Accessories"/>
    <x v="1"/>
    <n v="5"/>
    <n v="494.03"/>
    <n v="393.71"/>
    <n v="100.32"/>
    <s v="Same Day"/>
  </r>
  <r>
    <x v="355"/>
    <x v="234"/>
    <d v="2024-12-09T00:00:00"/>
    <n v="2"/>
    <x v="3"/>
    <s v="Laptop"/>
    <s v="Accessories"/>
    <x v="2"/>
    <n v="4"/>
    <n v="172.21"/>
    <n v="123.18"/>
    <n v="49.03"/>
    <s v="Same Day"/>
  </r>
  <r>
    <x v="356"/>
    <x v="0"/>
    <d v="2024-05-31T00:00:00"/>
    <n v="6"/>
    <x v="2"/>
    <s v="Laptop"/>
    <s v="Electronics"/>
    <x v="3"/>
    <n v="9"/>
    <n v="613.97"/>
    <n v="405.28"/>
    <n v="208.69000000000005"/>
    <s v="Express"/>
  </r>
  <r>
    <x v="357"/>
    <x v="235"/>
    <d v="2024-02-16T00:00:00"/>
    <n v="10"/>
    <x v="1"/>
    <s v="Laptop"/>
    <s v="Electronics"/>
    <x v="1"/>
    <n v="3"/>
    <n v="1951.85"/>
    <n v="1656.78"/>
    <n v="295.06999999999994"/>
    <s v="Same Day"/>
  </r>
  <r>
    <x v="358"/>
    <x v="203"/>
    <d v="2024-01-25T00:00:00"/>
    <n v="6"/>
    <x v="1"/>
    <s v="Phone"/>
    <s v="Accessories"/>
    <x v="2"/>
    <n v="4"/>
    <n v="1437.14"/>
    <n v="1124.98"/>
    <n v="312.16000000000008"/>
    <s v="Express"/>
  </r>
  <r>
    <x v="359"/>
    <x v="226"/>
    <d v="2024-10-06T00:00:00"/>
    <n v="8"/>
    <x v="0"/>
    <s v="Printer"/>
    <s v="Electronics"/>
    <x v="1"/>
    <n v="3"/>
    <n v="1373.65"/>
    <n v="1027.9100000000001"/>
    <n v="345.74"/>
    <s v="Express"/>
  </r>
  <r>
    <x v="360"/>
    <x v="105"/>
    <d v="2024-02-05T00:00:00"/>
    <n v="10"/>
    <x v="1"/>
    <s v="Router"/>
    <s v="Accessories"/>
    <x v="0"/>
    <n v="8"/>
    <n v="128.25"/>
    <n v="79.400000000000006"/>
    <n v="48.849999999999994"/>
    <s v="Express"/>
  </r>
  <r>
    <x v="361"/>
    <x v="122"/>
    <d v="2024-04-13T00:00:00"/>
    <n v="2"/>
    <x v="0"/>
    <s v="Monitor"/>
    <s v="Accessories"/>
    <x v="2"/>
    <n v="5"/>
    <n v="125.71"/>
    <n v="106.75"/>
    <n v="18.959999999999994"/>
    <s v="Express"/>
  </r>
  <r>
    <x v="362"/>
    <x v="7"/>
    <d v="2024-01-09T00:00:00"/>
    <n v="5"/>
    <x v="3"/>
    <s v="Printer"/>
    <s v="Electronics"/>
    <x v="2"/>
    <n v="10"/>
    <n v="622.27"/>
    <n v="518.66"/>
    <n v="103.61000000000001"/>
    <s v="Standard"/>
  </r>
  <r>
    <x v="363"/>
    <x v="236"/>
    <d v="2024-10-17T00:00:00"/>
    <n v="4"/>
    <x v="2"/>
    <s v="Laptop"/>
    <s v="Accessories"/>
    <x v="3"/>
    <n v="8"/>
    <n v="1644.67"/>
    <n v="1292.1600000000001"/>
    <n v="352.51"/>
    <s v="Standard"/>
  </r>
  <r>
    <x v="364"/>
    <x v="160"/>
    <d v="2024-01-13T00:00:00"/>
    <n v="2"/>
    <x v="2"/>
    <s v="Router"/>
    <s v="Electronics"/>
    <x v="0"/>
    <n v="6"/>
    <n v="1430.38"/>
    <n v="1181.04"/>
    <n v="249.34000000000015"/>
    <s v="Same Day"/>
  </r>
  <r>
    <x v="365"/>
    <x v="91"/>
    <d v="2024-11-21T00:00:00"/>
    <n v="10"/>
    <x v="0"/>
    <s v="Printer"/>
    <s v="Accessories"/>
    <x v="1"/>
    <n v="4"/>
    <n v="1050.8599999999999"/>
    <n v="671.98"/>
    <n v="378.87999999999988"/>
    <s v="Express"/>
  </r>
  <r>
    <x v="366"/>
    <x v="237"/>
    <d v="2024-01-23T00:00:00"/>
    <n v="7"/>
    <x v="2"/>
    <s v="Printer"/>
    <s v="Electronics"/>
    <x v="1"/>
    <n v="5"/>
    <n v="192.26"/>
    <n v="119.59"/>
    <n v="72.669999999999987"/>
    <s v="Express"/>
  </r>
  <r>
    <x v="367"/>
    <x v="64"/>
    <d v="2024-08-18T00:00:00"/>
    <n v="2"/>
    <x v="3"/>
    <s v="Phone"/>
    <s v="Electronics"/>
    <x v="1"/>
    <n v="7"/>
    <n v="1070.6300000000001"/>
    <n v="646.77"/>
    <n v="423.86000000000013"/>
    <s v="Standard"/>
  </r>
  <r>
    <x v="368"/>
    <x v="147"/>
    <d v="2024-10-14T00:00:00"/>
    <n v="10"/>
    <x v="1"/>
    <s v="Monitor"/>
    <s v="Electronics"/>
    <x v="1"/>
    <n v="6"/>
    <n v="1418.72"/>
    <n v="1171.8"/>
    <n v="246.92000000000007"/>
    <s v="Express"/>
  </r>
  <r>
    <x v="369"/>
    <x v="238"/>
    <d v="2024-10-04T00:00:00"/>
    <n v="2"/>
    <x v="2"/>
    <s v="Monitor"/>
    <s v="Accessories"/>
    <x v="2"/>
    <n v="6"/>
    <n v="1421.77"/>
    <n v="868.09"/>
    <n v="553.67999999999995"/>
    <s v="Same Day"/>
  </r>
  <r>
    <x v="370"/>
    <x v="239"/>
    <d v="2024-03-26T00:00:00"/>
    <n v="10"/>
    <x v="3"/>
    <s v="Monitor"/>
    <s v="Accessories"/>
    <x v="3"/>
    <n v="4"/>
    <n v="143.09"/>
    <n v="107.22"/>
    <n v="35.870000000000005"/>
    <s v="Same Day"/>
  </r>
  <r>
    <x v="371"/>
    <x v="151"/>
    <d v="2024-07-13T00:00:00"/>
    <n v="5"/>
    <x v="0"/>
    <s v="Phone"/>
    <s v="Electronics"/>
    <x v="2"/>
    <n v="3"/>
    <n v="998.86"/>
    <n v="811.14"/>
    <n v="187.72000000000003"/>
    <s v="Standard"/>
  </r>
  <r>
    <x v="372"/>
    <x v="79"/>
    <d v="2024-06-21T00:00:00"/>
    <n v="7"/>
    <x v="2"/>
    <s v="Laptop"/>
    <s v="Accessories"/>
    <x v="2"/>
    <n v="1"/>
    <n v="747.98"/>
    <n v="578.32000000000005"/>
    <n v="169.65999999999997"/>
    <s v="Express"/>
  </r>
  <r>
    <x v="373"/>
    <x v="97"/>
    <d v="2024-02-02T00:00:00"/>
    <n v="10"/>
    <x v="0"/>
    <s v="Router"/>
    <s v="Electronics"/>
    <x v="1"/>
    <n v="10"/>
    <n v="185.25"/>
    <n v="141.31"/>
    <n v="43.94"/>
    <s v="Same Day"/>
  </r>
  <r>
    <x v="374"/>
    <x v="100"/>
    <d v="2024-03-14T00:00:00"/>
    <n v="10"/>
    <x v="3"/>
    <s v="Printer"/>
    <s v="Accessories"/>
    <x v="0"/>
    <n v="1"/>
    <n v="365.83"/>
    <n v="257.91000000000003"/>
    <n v="107.91999999999996"/>
    <s v="Same Day"/>
  </r>
  <r>
    <x v="375"/>
    <x v="209"/>
    <d v="2024-10-14T00:00:00"/>
    <n v="2"/>
    <x v="0"/>
    <s v="Phone"/>
    <s v="Accessories"/>
    <x v="2"/>
    <n v="8"/>
    <n v="888.2"/>
    <n v="655.4"/>
    <n v="232.80000000000007"/>
    <s v="Standard"/>
  </r>
  <r>
    <x v="376"/>
    <x v="120"/>
    <d v="2024-06-23T00:00:00"/>
    <n v="3"/>
    <x v="3"/>
    <s v="Laptop"/>
    <s v="Electronics"/>
    <x v="1"/>
    <n v="10"/>
    <n v="551.02"/>
    <n v="447.74"/>
    <n v="103.27999999999997"/>
    <s v="Standard"/>
  </r>
  <r>
    <x v="377"/>
    <x v="101"/>
    <d v="2024-11-03T00:00:00"/>
    <n v="3"/>
    <x v="0"/>
    <s v="Printer"/>
    <s v="Electronics"/>
    <x v="1"/>
    <n v="1"/>
    <n v="475.84"/>
    <n v="387.81"/>
    <n v="88.029999999999973"/>
    <s v="Same Day"/>
  </r>
  <r>
    <x v="378"/>
    <x v="234"/>
    <d v="2024-12-14T00:00:00"/>
    <n v="7"/>
    <x v="1"/>
    <s v="Router"/>
    <s v="Electronics"/>
    <x v="1"/>
    <n v="2"/>
    <n v="643.91"/>
    <n v="395.06"/>
    <n v="248.84999999999997"/>
    <s v="Standard"/>
  </r>
  <r>
    <x v="379"/>
    <x v="55"/>
    <d v="2024-06-05T00:00:00"/>
    <n v="3"/>
    <x v="3"/>
    <s v="Monitor"/>
    <s v="Accessories"/>
    <x v="0"/>
    <n v="8"/>
    <n v="313.27"/>
    <n v="228.1"/>
    <n v="85.169999999999987"/>
    <s v="Standard"/>
  </r>
  <r>
    <x v="380"/>
    <x v="71"/>
    <d v="2024-10-29T00:00:00"/>
    <n v="7"/>
    <x v="2"/>
    <s v="Monitor"/>
    <s v="Electronics"/>
    <x v="3"/>
    <n v="5"/>
    <n v="583.34"/>
    <n v="351.74"/>
    <n v="231.60000000000002"/>
    <s v="Express"/>
  </r>
  <r>
    <x v="381"/>
    <x v="158"/>
    <d v="2024-03-30T00:00:00"/>
    <n v="4"/>
    <x v="2"/>
    <s v="Monitor"/>
    <s v="Accessories"/>
    <x v="3"/>
    <n v="3"/>
    <n v="1842.56"/>
    <n v="1227.22"/>
    <n v="615.33999999999992"/>
    <s v="Standard"/>
  </r>
  <r>
    <x v="382"/>
    <x v="240"/>
    <d v="2024-10-15T00:00:00"/>
    <n v="6"/>
    <x v="2"/>
    <s v="Router"/>
    <s v="Accessories"/>
    <x v="0"/>
    <n v="1"/>
    <n v="423.68"/>
    <n v="259.19"/>
    <n v="164.49"/>
    <s v="Same Day"/>
  </r>
  <r>
    <x v="383"/>
    <x v="241"/>
    <d v="2024-01-18T00:00:00"/>
    <n v="5"/>
    <x v="2"/>
    <s v="Printer"/>
    <s v="Electronics"/>
    <x v="0"/>
    <n v="9"/>
    <n v="744.49"/>
    <n v="450.09"/>
    <n v="294.40000000000003"/>
    <s v="Same Day"/>
  </r>
  <r>
    <x v="384"/>
    <x v="94"/>
    <d v="2024-08-14T00:00:00"/>
    <n v="6"/>
    <x v="2"/>
    <s v="Router"/>
    <s v="Accessories"/>
    <x v="0"/>
    <n v="9"/>
    <n v="571.27"/>
    <n v="421.55"/>
    <n v="149.71999999999997"/>
    <s v="Express"/>
  </r>
  <r>
    <x v="385"/>
    <x v="176"/>
    <d v="2024-03-30T00:00:00"/>
    <n v="5"/>
    <x v="3"/>
    <s v="Phone"/>
    <s v="Accessories"/>
    <x v="1"/>
    <n v="8"/>
    <n v="161.21"/>
    <n v="126.04"/>
    <n v="35.17"/>
    <s v="Same Day"/>
  </r>
  <r>
    <x v="386"/>
    <x v="177"/>
    <d v="2024-08-20T00:00:00"/>
    <n v="8"/>
    <x v="3"/>
    <s v="Router"/>
    <s v="Accessories"/>
    <x v="3"/>
    <n v="10"/>
    <n v="1108.56"/>
    <n v="678.16"/>
    <n v="430.4"/>
    <s v="Express"/>
  </r>
  <r>
    <x v="387"/>
    <x v="222"/>
    <d v="2024-10-20T00:00:00"/>
    <n v="4"/>
    <x v="0"/>
    <s v="Laptop"/>
    <s v="Electronics"/>
    <x v="2"/>
    <n v="5"/>
    <n v="1381.24"/>
    <n v="1096.92"/>
    <n v="284.31999999999994"/>
    <s v="Express"/>
  </r>
  <r>
    <x v="388"/>
    <x v="147"/>
    <d v="2024-10-06T00:00:00"/>
    <n v="2"/>
    <x v="1"/>
    <s v="Laptop"/>
    <s v="Electronics"/>
    <x v="3"/>
    <n v="6"/>
    <n v="349.42"/>
    <n v="240"/>
    <n v="109.42000000000002"/>
    <s v="Express"/>
  </r>
  <r>
    <x v="389"/>
    <x v="242"/>
    <d v="2024-04-17T00:00:00"/>
    <n v="2"/>
    <x v="3"/>
    <s v="Router"/>
    <s v="Accessories"/>
    <x v="2"/>
    <n v="10"/>
    <n v="379.6"/>
    <n v="233.13"/>
    <n v="146.47000000000003"/>
    <s v="Same Day"/>
  </r>
  <r>
    <x v="390"/>
    <x v="214"/>
    <d v="2024-12-13T00:00:00"/>
    <n v="4"/>
    <x v="3"/>
    <s v="Laptop"/>
    <s v="Electronics"/>
    <x v="1"/>
    <n v="8"/>
    <n v="257.42"/>
    <n v="199.17"/>
    <n v="58.250000000000028"/>
    <s v="Express"/>
  </r>
  <r>
    <x v="391"/>
    <x v="234"/>
    <d v="2024-12-17T00:00:00"/>
    <n v="10"/>
    <x v="1"/>
    <s v="Monitor"/>
    <s v="Accessories"/>
    <x v="2"/>
    <n v="2"/>
    <n v="1108.3599999999999"/>
    <n v="740.86"/>
    <n v="367.49999999999989"/>
    <s v="Standard"/>
  </r>
  <r>
    <x v="392"/>
    <x v="19"/>
    <d v="2024-02-26T00:00:00"/>
    <n v="5"/>
    <x v="1"/>
    <s v="Monitor"/>
    <s v="Electronics"/>
    <x v="0"/>
    <n v="3"/>
    <n v="1371.35"/>
    <n v="1022.03"/>
    <n v="349.31999999999994"/>
    <s v="Standard"/>
  </r>
  <r>
    <x v="393"/>
    <x v="243"/>
    <d v="2024-03-17T00:00:00"/>
    <n v="6"/>
    <x v="3"/>
    <s v="Laptop"/>
    <s v="Electronics"/>
    <x v="3"/>
    <n v="6"/>
    <n v="1470.22"/>
    <n v="992.77"/>
    <n v="477.45000000000005"/>
    <s v="Same Day"/>
  </r>
  <r>
    <x v="394"/>
    <x v="244"/>
    <d v="2024-07-26T00:00:00"/>
    <n v="2"/>
    <x v="0"/>
    <s v="Printer"/>
    <s v="Electronics"/>
    <x v="3"/>
    <n v="3"/>
    <n v="1413.18"/>
    <n v="1011.8"/>
    <n v="401.38000000000011"/>
    <s v="Express"/>
  </r>
  <r>
    <x v="395"/>
    <x v="237"/>
    <d v="2024-01-24T00:00:00"/>
    <n v="8"/>
    <x v="1"/>
    <s v="Printer"/>
    <s v="Electronics"/>
    <x v="0"/>
    <n v="9"/>
    <n v="474.6"/>
    <n v="366.58"/>
    <n v="108.02000000000004"/>
    <s v="Express"/>
  </r>
  <r>
    <x v="396"/>
    <x v="210"/>
    <d v="2024-03-18T00:00:00"/>
    <n v="6"/>
    <x v="2"/>
    <s v="Router"/>
    <s v="Accessories"/>
    <x v="1"/>
    <n v="6"/>
    <n v="859.94"/>
    <n v="519.29"/>
    <n v="340.65000000000009"/>
    <s v="Standard"/>
  </r>
  <r>
    <x v="397"/>
    <x v="37"/>
    <d v="2024-11-03T00:00:00"/>
    <n v="8"/>
    <x v="2"/>
    <s v="Phone"/>
    <s v="Electronics"/>
    <x v="1"/>
    <n v="8"/>
    <n v="481.19"/>
    <n v="390.49"/>
    <n v="90.699999999999989"/>
    <s v="Express"/>
  </r>
  <r>
    <x v="398"/>
    <x v="245"/>
    <d v="2024-11-19T00:00:00"/>
    <n v="7"/>
    <x v="2"/>
    <s v="Phone"/>
    <s v="Electronics"/>
    <x v="1"/>
    <n v="9"/>
    <n v="555.80999999999995"/>
    <n v="440.43"/>
    <n v="115.37999999999994"/>
    <s v="Express"/>
  </r>
  <r>
    <x v="399"/>
    <x v="246"/>
    <d v="2024-05-03T00:00:00"/>
    <n v="5"/>
    <x v="2"/>
    <s v="Phone"/>
    <s v="Accessories"/>
    <x v="0"/>
    <n v="1"/>
    <n v="780.71"/>
    <n v="516.97"/>
    <n v="263.74"/>
    <s v="Same Day"/>
  </r>
  <r>
    <x v="400"/>
    <x v="21"/>
    <d v="2024-09-21T00:00:00"/>
    <n v="5"/>
    <x v="1"/>
    <s v="Router"/>
    <s v="Accessories"/>
    <x v="0"/>
    <n v="8"/>
    <n v="1856.73"/>
    <n v="1404.15"/>
    <n v="452.57999999999993"/>
    <s v="Express"/>
  </r>
  <r>
    <x v="401"/>
    <x v="247"/>
    <d v="2024-11-15T00:00:00"/>
    <n v="9"/>
    <x v="0"/>
    <s v="Monitor"/>
    <s v="Accessories"/>
    <x v="1"/>
    <n v="5"/>
    <n v="104.88"/>
    <n v="70.239999999999995"/>
    <n v="34.64"/>
    <s v="Express"/>
  </r>
  <r>
    <x v="402"/>
    <x v="248"/>
    <d v="2024-08-23T00:00:00"/>
    <n v="6"/>
    <x v="0"/>
    <s v="Laptop"/>
    <s v="Electronics"/>
    <x v="2"/>
    <n v="4"/>
    <n v="931.73"/>
    <n v="780.57"/>
    <n v="151.15999999999997"/>
    <s v="Same Day"/>
  </r>
  <r>
    <x v="403"/>
    <x v="226"/>
    <d v="2024-10-05T00:00:00"/>
    <n v="7"/>
    <x v="3"/>
    <s v="Phone"/>
    <s v="Accessories"/>
    <x v="0"/>
    <n v="10"/>
    <n v="661.16"/>
    <n v="405.34"/>
    <n v="255.82"/>
    <s v="Same Day"/>
  </r>
  <r>
    <x v="404"/>
    <x v="8"/>
    <d v="2024-01-22T00:00:00"/>
    <n v="2"/>
    <x v="2"/>
    <s v="Monitor"/>
    <s v="Electronics"/>
    <x v="2"/>
    <n v="6"/>
    <n v="1001.89"/>
    <n v="745.05"/>
    <n v="256.84000000000003"/>
    <s v="Express"/>
  </r>
  <r>
    <x v="405"/>
    <x v="205"/>
    <d v="2024-02-22T00:00:00"/>
    <n v="6"/>
    <x v="1"/>
    <s v="Laptop"/>
    <s v="Electronics"/>
    <x v="2"/>
    <n v="2"/>
    <n v="1062.55"/>
    <n v="685.1"/>
    <n v="377.44999999999993"/>
    <s v="Standard"/>
  </r>
  <r>
    <x v="406"/>
    <x v="186"/>
    <d v="2024-02-03T00:00:00"/>
    <n v="3"/>
    <x v="0"/>
    <s v="Laptop"/>
    <s v="Electronics"/>
    <x v="0"/>
    <n v="3"/>
    <n v="590.78"/>
    <n v="398.13"/>
    <n v="192.64999999999998"/>
    <s v="Standard"/>
  </r>
  <r>
    <x v="407"/>
    <x v="249"/>
    <d v="2024-09-21T00:00:00"/>
    <n v="3"/>
    <x v="0"/>
    <s v="Monitor"/>
    <s v="Electronics"/>
    <x v="0"/>
    <n v="3"/>
    <n v="441.47"/>
    <n v="291.61"/>
    <n v="149.86000000000001"/>
    <s v="Express"/>
  </r>
  <r>
    <x v="408"/>
    <x v="241"/>
    <d v="2024-01-18T00:00:00"/>
    <n v="5"/>
    <x v="0"/>
    <s v="Phone"/>
    <s v="Accessories"/>
    <x v="2"/>
    <n v="3"/>
    <n v="766.36"/>
    <n v="584.57000000000005"/>
    <n v="181.78999999999996"/>
    <s v="Express"/>
  </r>
  <r>
    <x v="409"/>
    <x v="250"/>
    <d v="2024-09-09T00:00:00"/>
    <n v="8"/>
    <x v="1"/>
    <s v="Monitor"/>
    <s v="Electronics"/>
    <x v="1"/>
    <n v="7"/>
    <n v="1032.68"/>
    <n v="830.91"/>
    <n v="201.7700000000001"/>
    <s v="Standard"/>
  </r>
  <r>
    <x v="410"/>
    <x v="251"/>
    <d v="2024-10-16T00:00:00"/>
    <n v="6"/>
    <x v="0"/>
    <s v="Laptop"/>
    <s v="Accessories"/>
    <x v="0"/>
    <n v="7"/>
    <n v="100.63"/>
    <n v="79.86"/>
    <n v="20.769999999999996"/>
    <s v="Express"/>
  </r>
  <r>
    <x v="411"/>
    <x v="252"/>
    <d v="2024-07-15T00:00:00"/>
    <n v="10"/>
    <x v="2"/>
    <s v="Printer"/>
    <s v="Accessories"/>
    <x v="3"/>
    <n v="7"/>
    <n v="601.28"/>
    <n v="418.96"/>
    <n v="182.32"/>
    <s v="Standard"/>
  </r>
  <r>
    <x v="412"/>
    <x v="253"/>
    <d v="2024-11-09T00:00:00"/>
    <n v="2"/>
    <x v="1"/>
    <s v="Printer"/>
    <s v="Electronics"/>
    <x v="2"/>
    <n v="6"/>
    <n v="1425.74"/>
    <n v="964.12"/>
    <n v="461.62"/>
    <s v="Express"/>
  </r>
  <r>
    <x v="413"/>
    <x v="139"/>
    <d v="2024-01-20T00:00:00"/>
    <n v="8"/>
    <x v="3"/>
    <s v="Laptop"/>
    <s v="Electronics"/>
    <x v="1"/>
    <n v="6"/>
    <n v="1813.32"/>
    <n v="1232.8499999999999"/>
    <n v="580.47"/>
    <s v="Express"/>
  </r>
  <r>
    <x v="414"/>
    <x v="254"/>
    <d v="2024-02-02T00:00:00"/>
    <n v="4"/>
    <x v="1"/>
    <s v="Router"/>
    <s v="Electronics"/>
    <x v="0"/>
    <n v="4"/>
    <n v="350.14"/>
    <n v="280.2"/>
    <n v="69.94"/>
    <s v="Same Day"/>
  </r>
  <r>
    <x v="415"/>
    <x v="211"/>
    <d v="2024-04-07T00:00:00"/>
    <n v="3"/>
    <x v="1"/>
    <s v="Monitor"/>
    <s v="Accessories"/>
    <x v="1"/>
    <n v="7"/>
    <n v="1917.55"/>
    <n v="1468.87"/>
    <n v="448.68000000000006"/>
    <s v="Same Day"/>
  </r>
  <r>
    <x v="416"/>
    <x v="255"/>
    <d v="2024-11-30T00:00:00"/>
    <n v="7"/>
    <x v="1"/>
    <s v="Monitor"/>
    <s v="Accessories"/>
    <x v="1"/>
    <n v="5"/>
    <n v="1568.42"/>
    <n v="1153.96"/>
    <n v="414.46000000000004"/>
    <s v="Standard"/>
  </r>
  <r>
    <x v="417"/>
    <x v="93"/>
    <d v="2024-05-27T00:00:00"/>
    <n v="9"/>
    <x v="1"/>
    <s v="Laptop"/>
    <s v="Accessories"/>
    <x v="0"/>
    <n v="4"/>
    <n v="1826.95"/>
    <n v="1098.58"/>
    <n v="728.37000000000012"/>
    <s v="Express"/>
  </r>
  <r>
    <x v="418"/>
    <x v="77"/>
    <d v="2024-05-30T00:00:00"/>
    <n v="7"/>
    <x v="0"/>
    <s v="Monitor"/>
    <s v="Electronics"/>
    <x v="2"/>
    <n v="8"/>
    <n v="312.58999999999997"/>
    <n v="233.69"/>
    <n v="78.899999999999977"/>
    <s v="Express"/>
  </r>
  <r>
    <x v="419"/>
    <x v="40"/>
    <d v="2024-11-06T00:00:00"/>
    <n v="7"/>
    <x v="3"/>
    <s v="Router"/>
    <s v="Accessories"/>
    <x v="0"/>
    <n v="5"/>
    <n v="1692.66"/>
    <n v="1242"/>
    <n v="450.66000000000008"/>
    <s v="Same Day"/>
  </r>
  <r>
    <x v="420"/>
    <x v="154"/>
    <d v="2024-06-20T00:00:00"/>
    <n v="4"/>
    <x v="2"/>
    <s v="Phone"/>
    <s v="Electronics"/>
    <x v="2"/>
    <n v="3"/>
    <n v="399.72"/>
    <n v="328.49"/>
    <n v="71.230000000000018"/>
    <s v="Express"/>
  </r>
  <r>
    <x v="421"/>
    <x v="155"/>
    <d v="2024-06-24T00:00:00"/>
    <n v="2"/>
    <x v="3"/>
    <s v="Laptop"/>
    <s v="Electronics"/>
    <x v="1"/>
    <n v="7"/>
    <n v="155.66"/>
    <n v="98.34"/>
    <n v="57.319999999999993"/>
    <s v="Same Day"/>
  </r>
  <r>
    <x v="422"/>
    <x v="103"/>
    <d v="2024-05-15T00:00:00"/>
    <n v="9"/>
    <x v="2"/>
    <s v="Printer"/>
    <s v="Accessories"/>
    <x v="2"/>
    <n v="7"/>
    <n v="1680.38"/>
    <n v="1217.82"/>
    <n v="462.56000000000017"/>
    <s v="Same Day"/>
  </r>
  <r>
    <x v="423"/>
    <x v="138"/>
    <d v="2024-07-22T00:00:00"/>
    <n v="8"/>
    <x v="1"/>
    <s v="Printer"/>
    <s v="Accessories"/>
    <x v="2"/>
    <n v="2"/>
    <n v="983.92"/>
    <n v="620.35"/>
    <n v="363.56999999999994"/>
    <s v="Express"/>
  </r>
  <r>
    <x v="424"/>
    <x v="50"/>
    <d v="2024-12-12T00:00:00"/>
    <n v="9"/>
    <x v="3"/>
    <s v="Phone"/>
    <s v="Accessories"/>
    <x v="1"/>
    <n v="6"/>
    <n v="1565.04"/>
    <n v="1072.9000000000001"/>
    <n v="492.13999999999987"/>
    <s v="Same Day"/>
  </r>
  <r>
    <x v="425"/>
    <x v="21"/>
    <d v="2024-09-20T00:00:00"/>
    <n v="4"/>
    <x v="2"/>
    <s v="Monitor"/>
    <s v="Accessories"/>
    <x v="0"/>
    <n v="9"/>
    <n v="652.32000000000005"/>
    <n v="499.64"/>
    <n v="152.68000000000006"/>
    <s v="Standard"/>
  </r>
  <r>
    <x v="426"/>
    <x v="256"/>
    <d v="2024-07-23T00:00:00"/>
    <n v="6"/>
    <x v="1"/>
    <s v="Laptop"/>
    <s v="Electronics"/>
    <x v="0"/>
    <n v="2"/>
    <n v="696.09"/>
    <n v="434.96"/>
    <n v="261.13000000000005"/>
    <s v="Express"/>
  </r>
  <r>
    <x v="427"/>
    <x v="257"/>
    <d v="2024-03-05T00:00:00"/>
    <n v="9"/>
    <x v="0"/>
    <s v="Printer"/>
    <s v="Electronics"/>
    <x v="3"/>
    <n v="10"/>
    <n v="1776.18"/>
    <n v="1086.21"/>
    <n v="689.97"/>
    <s v="Express"/>
  </r>
  <r>
    <x v="428"/>
    <x v="221"/>
    <d v="2024-12-04T00:00:00"/>
    <n v="3"/>
    <x v="1"/>
    <s v="Laptop"/>
    <s v="Electronics"/>
    <x v="1"/>
    <n v="3"/>
    <n v="1011.2"/>
    <n v="797.44"/>
    <n v="213.76"/>
    <s v="Express"/>
  </r>
  <r>
    <x v="429"/>
    <x v="151"/>
    <d v="2024-07-15T00:00:00"/>
    <n v="7"/>
    <x v="0"/>
    <s v="Router"/>
    <s v="Accessories"/>
    <x v="2"/>
    <n v="9"/>
    <n v="567.47"/>
    <n v="480.88"/>
    <n v="86.590000000000032"/>
    <s v="Express"/>
  </r>
  <r>
    <x v="430"/>
    <x v="222"/>
    <d v="2024-10-24T00:00:00"/>
    <n v="8"/>
    <x v="3"/>
    <s v="Phone"/>
    <s v="Accessories"/>
    <x v="2"/>
    <n v="4"/>
    <n v="1506.86"/>
    <n v="1150.76"/>
    <n v="356.09999999999991"/>
    <s v="Standard"/>
  </r>
  <r>
    <x v="431"/>
    <x v="164"/>
    <d v="2024-10-04T00:00:00"/>
    <n v="5"/>
    <x v="2"/>
    <s v="Monitor"/>
    <s v="Accessories"/>
    <x v="1"/>
    <n v="8"/>
    <n v="1985.62"/>
    <n v="1266.77"/>
    <n v="718.84999999999991"/>
    <s v="Express"/>
  </r>
  <r>
    <x v="432"/>
    <x v="41"/>
    <d v="2024-12-21T00:00:00"/>
    <n v="5"/>
    <x v="0"/>
    <s v="Printer"/>
    <s v="Electronics"/>
    <x v="1"/>
    <n v="9"/>
    <n v="581.61"/>
    <n v="389.18"/>
    <n v="192.43"/>
    <s v="Express"/>
  </r>
  <r>
    <x v="433"/>
    <x v="4"/>
    <d v="2024-12-29T00:00:00"/>
    <n v="4"/>
    <x v="0"/>
    <s v="Router"/>
    <s v="Electronics"/>
    <x v="0"/>
    <n v="6"/>
    <n v="544"/>
    <n v="355.3"/>
    <n v="188.7"/>
    <s v="Express"/>
  </r>
  <r>
    <x v="434"/>
    <x v="132"/>
    <d v="2024-03-31T00:00:00"/>
    <n v="3"/>
    <x v="0"/>
    <s v="Laptop"/>
    <s v="Accessories"/>
    <x v="3"/>
    <n v="7"/>
    <n v="1394.27"/>
    <n v="977.15"/>
    <n v="417.12"/>
    <s v="Standard"/>
  </r>
  <r>
    <x v="435"/>
    <x v="258"/>
    <d v="2024-05-13T00:00:00"/>
    <n v="8"/>
    <x v="2"/>
    <s v="Monitor"/>
    <s v="Electronics"/>
    <x v="2"/>
    <n v="8"/>
    <n v="1701.79"/>
    <n v="1201.8800000000001"/>
    <n v="499.90999999999985"/>
    <s v="Same Day"/>
  </r>
  <r>
    <x v="436"/>
    <x v="134"/>
    <d v="2024-02-25T00:00:00"/>
    <n v="7"/>
    <x v="2"/>
    <s v="Laptop"/>
    <s v="Electronics"/>
    <x v="0"/>
    <n v="9"/>
    <n v="432.01"/>
    <n v="273.73"/>
    <n v="158.27999999999997"/>
    <s v="Standard"/>
  </r>
  <r>
    <x v="437"/>
    <x v="177"/>
    <d v="2024-08-17T00:00:00"/>
    <n v="5"/>
    <x v="3"/>
    <s v="Laptop"/>
    <s v="Accessories"/>
    <x v="2"/>
    <n v="4"/>
    <n v="1868.76"/>
    <n v="1228.44"/>
    <n v="640.31999999999994"/>
    <s v="Express"/>
  </r>
  <r>
    <x v="438"/>
    <x v="259"/>
    <d v="2024-09-21T00:00:00"/>
    <n v="2"/>
    <x v="1"/>
    <s v="Laptop"/>
    <s v="Accessories"/>
    <x v="3"/>
    <n v="3"/>
    <n v="487.19"/>
    <n v="382.6"/>
    <n v="104.58999999999997"/>
    <s v="Express"/>
  </r>
  <r>
    <x v="439"/>
    <x v="127"/>
    <d v="2024-04-27T00:00:00"/>
    <n v="5"/>
    <x v="2"/>
    <s v="Printer"/>
    <s v="Accessories"/>
    <x v="0"/>
    <n v="3"/>
    <n v="1754.29"/>
    <n v="1160.02"/>
    <n v="594.27"/>
    <s v="Same Day"/>
  </r>
  <r>
    <x v="440"/>
    <x v="260"/>
    <d v="2024-12-10T00:00:00"/>
    <n v="5"/>
    <x v="0"/>
    <s v="Monitor"/>
    <s v="Accessories"/>
    <x v="1"/>
    <n v="9"/>
    <n v="946.97"/>
    <n v="731.53"/>
    <n v="215.44000000000005"/>
    <s v="Same Day"/>
  </r>
  <r>
    <x v="441"/>
    <x v="261"/>
    <d v="2024-12-22T00:00:00"/>
    <n v="9"/>
    <x v="3"/>
    <s v="Laptop"/>
    <s v="Accessories"/>
    <x v="3"/>
    <n v="6"/>
    <n v="1932.23"/>
    <n v="1416.88"/>
    <n v="515.34999999999991"/>
    <s v="Standard"/>
  </r>
  <r>
    <x v="442"/>
    <x v="208"/>
    <d v="2024-03-09T00:00:00"/>
    <n v="10"/>
    <x v="1"/>
    <s v="Phone"/>
    <s v="Electronics"/>
    <x v="1"/>
    <n v="2"/>
    <n v="154.57"/>
    <n v="96.09"/>
    <n v="58.47999999999999"/>
    <s v="Same Day"/>
  </r>
  <r>
    <x v="443"/>
    <x v="18"/>
    <d v="2024-04-28T00:00:00"/>
    <n v="9"/>
    <x v="2"/>
    <s v="Laptop"/>
    <s v="Accessories"/>
    <x v="2"/>
    <n v="7"/>
    <n v="154.81"/>
    <n v="126.05"/>
    <n v="28.760000000000005"/>
    <s v="Standard"/>
  </r>
  <r>
    <x v="444"/>
    <x v="209"/>
    <d v="2024-10-19T00:00:00"/>
    <n v="7"/>
    <x v="3"/>
    <s v="Monitor"/>
    <s v="Accessories"/>
    <x v="3"/>
    <n v="2"/>
    <n v="112.14"/>
    <n v="72.040000000000006"/>
    <n v="40.099999999999994"/>
    <s v="Express"/>
  </r>
  <r>
    <x v="445"/>
    <x v="262"/>
    <d v="2024-08-06T00:00:00"/>
    <n v="5"/>
    <x v="2"/>
    <s v="Phone"/>
    <s v="Accessories"/>
    <x v="2"/>
    <n v="7"/>
    <n v="666.46"/>
    <n v="559.41"/>
    <n v="107.05000000000007"/>
    <s v="Standard"/>
  </r>
  <r>
    <x v="446"/>
    <x v="45"/>
    <d v="2024-10-20T00:00:00"/>
    <n v="5"/>
    <x v="3"/>
    <s v="Laptop"/>
    <s v="Electronics"/>
    <x v="0"/>
    <n v="2"/>
    <n v="770.42"/>
    <n v="463.28"/>
    <n v="307.14"/>
    <s v="Same Day"/>
  </r>
  <r>
    <x v="447"/>
    <x v="100"/>
    <d v="2024-03-13T00:00:00"/>
    <n v="9"/>
    <x v="1"/>
    <s v="Printer"/>
    <s v="Electronics"/>
    <x v="1"/>
    <n v="5"/>
    <n v="483.11"/>
    <n v="322.37"/>
    <n v="160.74"/>
    <s v="Express"/>
  </r>
  <r>
    <x v="448"/>
    <x v="250"/>
    <d v="2024-09-05T00:00:00"/>
    <n v="4"/>
    <x v="0"/>
    <s v="Laptop"/>
    <s v="Accessories"/>
    <x v="3"/>
    <n v="7"/>
    <n v="1778.37"/>
    <n v="1500.09"/>
    <n v="278.27999999999997"/>
    <s v="Standard"/>
  </r>
  <r>
    <x v="449"/>
    <x v="263"/>
    <d v="2024-09-12T00:00:00"/>
    <n v="7"/>
    <x v="0"/>
    <s v="Monitor"/>
    <s v="Electronics"/>
    <x v="2"/>
    <n v="4"/>
    <n v="548.63"/>
    <n v="380.11"/>
    <n v="168.51999999999998"/>
    <s v="Standard"/>
  </r>
  <r>
    <x v="450"/>
    <x v="120"/>
    <d v="2024-06-27T00:00:00"/>
    <n v="7"/>
    <x v="2"/>
    <s v="Laptop"/>
    <s v="Accessories"/>
    <x v="3"/>
    <n v="3"/>
    <n v="1935.19"/>
    <n v="1187.99"/>
    <n v="747.2"/>
    <s v="Standard"/>
  </r>
  <r>
    <x v="451"/>
    <x v="214"/>
    <d v="2024-12-11T00:00:00"/>
    <n v="2"/>
    <x v="1"/>
    <s v="Laptop"/>
    <s v="Accessories"/>
    <x v="0"/>
    <n v="7"/>
    <n v="114.03"/>
    <n v="71.069999999999993"/>
    <n v="42.960000000000008"/>
    <s v="Express"/>
  </r>
  <r>
    <x v="452"/>
    <x v="144"/>
    <d v="2024-06-20T00:00:00"/>
    <n v="9"/>
    <x v="1"/>
    <s v="Router"/>
    <s v="Accessories"/>
    <x v="2"/>
    <n v="6"/>
    <n v="1532.41"/>
    <n v="1285.7"/>
    <n v="246.71000000000004"/>
    <s v="Standard"/>
  </r>
  <r>
    <x v="453"/>
    <x v="58"/>
    <d v="2024-09-17T00:00:00"/>
    <n v="7"/>
    <x v="2"/>
    <s v="Router"/>
    <s v="Accessories"/>
    <x v="0"/>
    <n v="10"/>
    <n v="388.62"/>
    <n v="317.89999999999998"/>
    <n v="70.720000000000027"/>
    <s v="Standard"/>
  </r>
  <r>
    <x v="454"/>
    <x v="206"/>
    <d v="2024-07-24T00:00:00"/>
    <n v="4"/>
    <x v="2"/>
    <s v="Laptop"/>
    <s v="Accessories"/>
    <x v="3"/>
    <n v="3"/>
    <n v="1162.3699999999999"/>
    <n v="795.23"/>
    <n v="367.13999999999987"/>
    <s v="Same Day"/>
  </r>
  <r>
    <x v="455"/>
    <x v="264"/>
    <d v="2024-06-24T00:00:00"/>
    <n v="7"/>
    <x v="2"/>
    <s v="Phone"/>
    <s v="Accessories"/>
    <x v="2"/>
    <n v="4"/>
    <n v="171.42"/>
    <n v="140.81"/>
    <n v="30.609999999999985"/>
    <s v="Express"/>
  </r>
  <r>
    <x v="456"/>
    <x v="3"/>
    <d v="2024-08-01T00:00:00"/>
    <n v="3"/>
    <x v="3"/>
    <s v="Router"/>
    <s v="Electronics"/>
    <x v="2"/>
    <n v="10"/>
    <n v="842.48"/>
    <n v="702.24"/>
    <n v="140.24"/>
    <s v="Same Day"/>
  </r>
  <r>
    <x v="457"/>
    <x v="265"/>
    <d v="2024-09-19T00:00:00"/>
    <n v="10"/>
    <x v="0"/>
    <s v="Laptop"/>
    <s v="Electronics"/>
    <x v="3"/>
    <n v="4"/>
    <n v="121.78"/>
    <n v="80.739999999999995"/>
    <n v="41.040000000000006"/>
    <s v="Standard"/>
  </r>
  <r>
    <x v="458"/>
    <x v="85"/>
    <d v="2024-07-10T00:00:00"/>
    <n v="10"/>
    <x v="0"/>
    <s v="Laptop"/>
    <s v="Electronics"/>
    <x v="3"/>
    <n v="3"/>
    <n v="470.69"/>
    <n v="368.35"/>
    <n v="102.33999999999997"/>
    <s v="Express"/>
  </r>
  <r>
    <x v="459"/>
    <x v="113"/>
    <d v="2024-09-23T00:00:00"/>
    <n v="10"/>
    <x v="3"/>
    <s v="Printer"/>
    <s v="Accessories"/>
    <x v="3"/>
    <n v="10"/>
    <n v="714.55"/>
    <n v="528.09"/>
    <n v="186.45999999999992"/>
    <s v="Standard"/>
  </r>
  <r>
    <x v="460"/>
    <x v="248"/>
    <d v="2024-08-26T00:00:00"/>
    <n v="9"/>
    <x v="2"/>
    <s v="Phone"/>
    <s v="Accessories"/>
    <x v="3"/>
    <n v="3"/>
    <n v="586.03"/>
    <n v="487.38"/>
    <n v="98.649999999999977"/>
    <s v="Same Day"/>
  </r>
  <r>
    <x v="461"/>
    <x v="266"/>
    <d v="2024-10-30T00:00:00"/>
    <n v="10"/>
    <x v="2"/>
    <s v="Laptop"/>
    <s v="Accessories"/>
    <x v="0"/>
    <n v="4"/>
    <n v="1633.48"/>
    <n v="1264.96"/>
    <n v="368.52"/>
    <s v="Standard"/>
  </r>
  <r>
    <x v="462"/>
    <x v="267"/>
    <d v="2024-10-10T00:00:00"/>
    <n v="10"/>
    <x v="2"/>
    <s v="Printer"/>
    <s v="Electronics"/>
    <x v="2"/>
    <n v="6"/>
    <n v="752.15"/>
    <n v="638.66999999999996"/>
    <n v="113.48000000000002"/>
    <s v="Same Day"/>
  </r>
  <r>
    <x v="463"/>
    <x v="239"/>
    <d v="2024-03-20T00:00:00"/>
    <n v="4"/>
    <x v="2"/>
    <s v="Router"/>
    <s v="Electronics"/>
    <x v="3"/>
    <n v="5"/>
    <n v="1073.3900000000001"/>
    <n v="888.67"/>
    <n v="184.72000000000014"/>
    <s v="Standard"/>
  </r>
  <r>
    <x v="464"/>
    <x v="259"/>
    <d v="2024-09-24T00:00:00"/>
    <n v="5"/>
    <x v="1"/>
    <s v="Monitor"/>
    <s v="Accessories"/>
    <x v="0"/>
    <n v="6"/>
    <n v="1150.8900000000001"/>
    <n v="954.73"/>
    <n v="196.16000000000008"/>
    <s v="Standard"/>
  </r>
  <r>
    <x v="465"/>
    <x v="268"/>
    <d v="2024-11-26T00:00:00"/>
    <n v="7"/>
    <x v="2"/>
    <s v="Phone"/>
    <s v="Electronics"/>
    <x v="3"/>
    <n v="2"/>
    <n v="1543.84"/>
    <n v="1162.99"/>
    <n v="380.84999999999991"/>
    <s v="Standard"/>
  </r>
  <r>
    <x v="466"/>
    <x v="218"/>
    <d v="2024-08-16T00:00:00"/>
    <n v="5"/>
    <x v="1"/>
    <s v="Monitor"/>
    <s v="Accessories"/>
    <x v="0"/>
    <n v="10"/>
    <n v="310.52999999999997"/>
    <n v="240.18"/>
    <n v="70.349999999999966"/>
    <s v="Standard"/>
  </r>
  <r>
    <x v="467"/>
    <x v="107"/>
    <d v="2024-09-10T00:00:00"/>
    <n v="6"/>
    <x v="0"/>
    <s v="Laptop"/>
    <s v="Electronics"/>
    <x v="1"/>
    <n v="7"/>
    <n v="855.27"/>
    <n v="621.55999999999995"/>
    <n v="233.71000000000004"/>
    <s v="Standard"/>
  </r>
  <r>
    <x v="468"/>
    <x v="215"/>
    <d v="2024-02-20T00:00:00"/>
    <n v="8"/>
    <x v="3"/>
    <s v="Laptop"/>
    <s v="Electronics"/>
    <x v="0"/>
    <n v="1"/>
    <n v="811.28"/>
    <n v="521.13"/>
    <n v="290.14999999999998"/>
    <s v="Standard"/>
  </r>
  <r>
    <x v="469"/>
    <x v="269"/>
    <d v="2024-03-03T00:00:00"/>
    <n v="5"/>
    <x v="1"/>
    <s v="Router"/>
    <s v="Electronics"/>
    <x v="2"/>
    <n v="1"/>
    <n v="657.78"/>
    <n v="548.04999999999995"/>
    <n v="109.73000000000002"/>
    <s v="Express"/>
  </r>
  <r>
    <x v="470"/>
    <x v="270"/>
    <d v="2024-09-30T00:00:00"/>
    <n v="4"/>
    <x v="0"/>
    <s v="Phone"/>
    <s v="Electronics"/>
    <x v="1"/>
    <n v="5"/>
    <n v="1971.33"/>
    <n v="1377.23"/>
    <n v="594.09999999999991"/>
    <s v="Same Day"/>
  </r>
  <r>
    <x v="471"/>
    <x v="124"/>
    <d v="2024-12-14T00:00:00"/>
    <n v="8"/>
    <x v="0"/>
    <s v="Phone"/>
    <s v="Electronics"/>
    <x v="1"/>
    <n v="2"/>
    <n v="796.42"/>
    <n v="560.89"/>
    <n v="235.52999999999997"/>
    <s v="Express"/>
  </r>
  <r>
    <x v="472"/>
    <x v="91"/>
    <d v="2024-11-13T00:00:00"/>
    <n v="2"/>
    <x v="2"/>
    <s v="Monitor"/>
    <s v="Accessories"/>
    <x v="3"/>
    <n v="2"/>
    <n v="564.58000000000004"/>
    <n v="400.36"/>
    <n v="164.22000000000003"/>
    <s v="Standard"/>
  </r>
  <r>
    <x v="473"/>
    <x v="125"/>
    <d v="2024-09-06T00:00:00"/>
    <n v="7"/>
    <x v="1"/>
    <s v="Laptop"/>
    <s v="Accessories"/>
    <x v="2"/>
    <n v="6"/>
    <n v="1636.74"/>
    <n v="1316.09"/>
    <n v="320.65000000000009"/>
    <s v="Express"/>
  </r>
  <r>
    <x v="474"/>
    <x v="52"/>
    <d v="2024-12-27T00:00:00"/>
    <n v="9"/>
    <x v="2"/>
    <s v="Printer"/>
    <s v="Accessories"/>
    <x v="0"/>
    <n v="5"/>
    <n v="866.38"/>
    <n v="664.33"/>
    <n v="202.04999999999995"/>
    <s v="Express"/>
  </r>
  <r>
    <x v="475"/>
    <x v="63"/>
    <d v="2024-07-16T00:00:00"/>
    <n v="6"/>
    <x v="2"/>
    <s v="Phone"/>
    <s v="Electronics"/>
    <x v="2"/>
    <n v="8"/>
    <n v="833.22"/>
    <n v="509.53"/>
    <n v="323.69000000000005"/>
    <s v="Express"/>
  </r>
  <r>
    <x v="476"/>
    <x v="148"/>
    <d v="2024-03-30T00:00:00"/>
    <n v="7"/>
    <x v="3"/>
    <s v="Laptop"/>
    <s v="Electronics"/>
    <x v="2"/>
    <n v="1"/>
    <n v="889.13"/>
    <n v="539.13"/>
    <n v="350"/>
    <s v="Express"/>
  </r>
  <r>
    <x v="477"/>
    <x v="15"/>
    <d v="2024-09-03T00:00:00"/>
    <n v="5"/>
    <x v="3"/>
    <s v="Laptop"/>
    <s v="Electronics"/>
    <x v="0"/>
    <n v="10"/>
    <n v="1290.07"/>
    <n v="885.64"/>
    <n v="404.42999999999995"/>
    <s v="Same Day"/>
  </r>
  <r>
    <x v="478"/>
    <x v="271"/>
    <d v="2024-09-23T00:00:00"/>
    <n v="2"/>
    <x v="3"/>
    <s v="Laptop"/>
    <s v="Electronics"/>
    <x v="1"/>
    <n v="9"/>
    <n v="521.22"/>
    <n v="440.72"/>
    <n v="80.5"/>
    <s v="Standard"/>
  </r>
  <r>
    <x v="479"/>
    <x v="262"/>
    <d v="2024-08-08T00:00:00"/>
    <n v="7"/>
    <x v="2"/>
    <s v="Monitor"/>
    <s v="Electronics"/>
    <x v="1"/>
    <n v="4"/>
    <n v="744.51"/>
    <n v="484.89"/>
    <n v="259.62"/>
    <s v="Standard"/>
  </r>
  <r>
    <x v="480"/>
    <x v="123"/>
    <d v="2024-11-13T00:00:00"/>
    <n v="3"/>
    <x v="3"/>
    <s v="Phone"/>
    <s v="Electronics"/>
    <x v="1"/>
    <n v="3"/>
    <n v="1586.5"/>
    <n v="1227.8399999999999"/>
    <n v="358.66000000000008"/>
    <s v="Same Day"/>
  </r>
  <r>
    <x v="481"/>
    <x v="272"/>
    <d v="2024-09-18T00:00:00"/>
    <n v="6"/>
    <x v="0"/>
    <s v="Laptop"/>
    <s v="Accessories"/>
    <x v="2"/>
    <n v="1"/>
    <n v="292.41000000000003"/>
    <n v="234.93"/>
    <n v="57.480000000000018"/>
    <s v="Express"/>
  </r>
  <r>
    <x v="482"/>
    <x v="273"/>
    <d v="2024-05-03T00:00:00"/>
    <n v="4"/>
    <x v="3"/>
    <s v="Laptop"/>
    <s v="Electronics"/>
    <x v="0"/>
    <n v="10"/>
    <n v="1127.17"/>
    <n v="933.88"/>
    <n v="193.29000000000008"/>
    <s v="Standard"/>
  </r>
  <r>
    <x v="483"/>
    <x v="274"/>
    <d v="2024-12-15T00:00:00"/>
    <n v="5"/>
    <x v="3"/>
    <s v="Printer"/>
    <s v="Accessories"/>
    <x v="3"/>
    <n v="2"/>
    <n v="1830.28"/>
    <n v="1308.75"/>
    <n v="521.53"/>
    <s v="Express"/>
  </r>
  <r>
    <x v="484"/>
    <x v="275"/>
    <d v="2024-03-18T00:00:00"/>
    <n v="5"/>
    <x v="0"/>
    <s v="Router"/>
    <s v="Accessories"/>
    <x v="2"/>
    <n v="7"/>
    <n v="1324.29"/>
    <n v="840.52"/>
    <n v="483.77"/>
    <s v="Standard"/>
  </r>
  <r>
    <x v="485"/>
    <x v="228"/>
    <d v="2024-02-19T00:00:00"/>
    <n v="6"/>
    <x v="2"/>
    <s v="Router"/>
    <s v="Electronics"/>
    <x v="1"/>
    <n v="7"/>
    <n v="782.39"/>
    <n v="599.74"/>
    <n v="182.64999999999998"/>
    <s v="Standard"/>
  </r>
  <r>
    <x v="486"/>
    <x v="83"/>
    <d v="2024-12-31T00:00:00"/>
    <n v="3"/>
    <x v="0"/>
    <s v="Monitor"/>
    <s v="Accessories"/>
    <x v="0"/>
    <n v="10"/>
    <n v="495.99"/>
    <n v="387.33"/>
    <n v="108.66000000000003"/>
    <s v="Express"/>
  </r>
  <r>
    <x v="487"/>
    <x v="60"/>
    <d v="2024-08-02T00:00:00"/>
    <n v="5"/>
    <x v="1"/>
    <s v="Phone"/>
    <s v="Accessories"/>
    <x v="3"/>
    <n v="8"/>
    <n v="1361.17"/>
    <n v="1045.06"/>
    <n v="316.11000000000013"/>
    <s v="Express"/>
  </r>
  <r>
    <x v="488"/>
    <x v="25"/>
    <d v="2024-07-26T00:00:00"/>
    <n v="3"/>
    <x v="3"/>
    <s v="Monitor"/>
    <s v="Accessories"/>
    <x v="1"/>
    <n v="1"/>
    <n v="925.06"/>
    <n v="718.25"/>
    <n v="206.80999999999995"/>
    <s v="Express"/>
  </r>
  <r>
    <x v="489"/>
    <x v="276"/>
    <d v="2024-11-03T00:00:00"/>
    <n v="7"/>
    <x v="3"/>
    <s v="Laptop"/>
    <s v="Accessories"/>
    <x v="1"/>
    <n v="10"/>
    <n v="1896.31"/>
    <n v="1380.78"/>
    <n v="515.53"/>
    <s v="Same Day"/>
  </r>
  <r>
    <x v="490"/>
    <x v="45"/>
    <d v="2024-10-24T00:00:00"/>
    <n v="9"/>
    <x v="2"/>
    <s v="Monitor"/>
    <s v="Electronics"/>
    <x v="3"/>
    <n v="8"/>
    <n v="1555.87"/>
    <n v="1201.57"/>
    <n v="354.29999999999995"/>
    <s v="Express"/>
  </r>
  <r>
    <x v="491"/>
    <x v="163"/>
    <d v="2024-03-10T00:00:00"/>
    <n v="3"/>
    <x v="2"/>
    <s v="Printer"/>
    <s v="Electronics"/>
    <x v="0"/>
    <n v="1"/>
    <n v="1953.52"/>
    <n v="1633.89"/>
    <n v="319.62999999999988"/>
    <s v="Express"/>
  </r>
  <r>
    <x v="492"/>
    <x v="22"/>
    <d v="2024-08-12T00:00:00"/>
    <n v="9"/>
    <x v="3"/>
    <s v="Phone"/>
    <s v="Electronics"/>
    <x v="0"/>
    <n v="4"/>
    <n v="1821.79"/>
    <n v="1217.3699999999999"/>
    <n v="604.42000000000007"/>
    <s v="Standard"/>
  </r>
  <r>
    <x v="493"/>
    <x v="34"/>
    <d v="2024-09-19T00:00:00"/>
    <n v="2"/>
    <x v="3"/>
    <s v="Router"/>
    <s v="Electronics"/>
    <x v="2"/>
    <n v="5"/>
    <n v="826.54"/>
    <n v="596.16"/>
    <n v="230.38"/>
    <s v="Express"/>
  </r>
  <r>
    <x v="494"/>
    <x v="195"/>
    <d v="2024-06-26T00:00:00"/>
    <n v="3"/>
    <x v="0"/>
    <s v="Laptop"/>
    <s v="Accessories"/>
    <x v="3"/>
    <n v="7"/>
    <n v="1681.96"/>
    <n v="1360.17"/>
    <n v="321.78999999999996"/>
    <s v="Express"/>
  </r>
  <r>
    <x v="495"/>
    <x v="186"/>
    <d v="2024-02-02T00:00:00"/>
    <n v="2"/>
    <x v="2"/>
    <s v="Laptop"/>
    <s v="Accessories"/>
    <x v="1"/>
    <n v="6"/>
    <n v="1725.22"/>
    <n v="1057.0999999999999"/>
    <n v="668.12000000000012"/>
    <s v="Same Day"/>
  </r>
  <r>
    <x v="496"/>
    <x v="7"/>
    <d v="2024-01-10T00:00:00"/>
    <n v="6"/>
    <x v="3"/>
    <s v="Monitor"/>
    <s v="Electronics"/>
    <x v="0"/>
    <n v="1"/>
    <n v="986.21"/>
    <n v="629.67999999999995"/>
    <n v="356.53000000000009"/>
    <s v="Express"/>
  </r>
  <r>
    <x v="497"/>
    <x v="219"/>
    <d v="2024-08-10T00:00:00"/>
    <n v="8"/>
    <x v="0"/>
    <s v="Monitor"/>
    <s v="Accessories"/>
    <x v="1"/>
    <n v="2"/>
    <n v="658.02"/>
    <n v="527.37"/>
    <n v="130.64999999999998"/>
    <s v="Standard"/>
  </r>
  <r>
    <x v="498"/>
    <x v="133"/>
    <d v="2024-03-04T00:00:00"/>
    <n v="3"/>
    <x v="2"/>
    <s v="Printer"/>
    <s v="Electronics"/>
    <x v="3"/>
    <n v="5"/>
    <n v="924.44"/>
    <n v="571.99"/>
    <n v="352.45000000000005"/>
    <s v="Same Day"/>
  </r>
  <r>
    <x v="499"/>
    <x v="94"/>
    <d v="2024-08-15T00:00:00"/>
    <n v="7"/>
    <x v="1"/>
    <s v="Printer"/>
    <s v="Electronics"/>
    <x v="0"/>
    <n v="2"/>
    <n v="1409.83"/>
    <n v="968.39"/>
    <n v="441.43999999999994"/>
    <s v="Express"/>
  </r>
  <r>
    <x v="500"/>
    <x v="277"/>
    <m/>
    <m/>
    <x v="4"/>
    <m/>
    <m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352CED-1B74-48E6-A394-E405FB20FCE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2:E26" firstHeaderRow="1" firstDataRow="1" firstDataCol="1"/>
  <pivotFields count="15">
    <pivotField showAll="0"/>
    <pivotField showAll="0">
      <items count="279">
        <item x="165"/>
        <item x="23"/>
        <item x="7"/>
        <item x="13"/>
        <item x="90"/>
        <item x="160"/>
        <item x="139"/>
        <item x="241"/>
        <item x="162"/>
        <item x="237"/>
        <item x="108"/>
        <item x="203"/>
        <item x="8"/>
        <item x="97"/>
        <item x="178"/>
        <item x="105"/>
        <item x="192"/>
        <item x="175"/>
        <item x="254"/>
        <item x="186"/>
        <item x="86"/>
        <item x="235"/>
        <item x="215"/>
        <item x="228"/>
        <item x="35"/>
        <item x="205"/>
        <item x="194"/>
        <item x="134"/>
        <item x="19"/>
        <item x="98"/>
        <item x="119"/>
        <item x="1"/>
        <item x="257"/>
        <item x="269"/>
        <item x="208"/>
        <item x="141"/>
        <item x="133"/>
        <item x="137"/>
        <item x="100"/>
        <item x="38"/>
        <item x="163"/>
        <item x="72"/>
        <item x="92"/>
        <item x="188"/>
        <item x="243"/>
        <item x="210"/>
        <item x="275"/>
        <item x="87"/>
        <item x="239"/>
        <item x="172"/>
        <item x="67"/>
        <item x="148"/>
        <item x="106"/>
        <item x="176"/>
        <item x="158"/>
        <item x="171"/>
        <item x="132"/>
        <item x="149"/>
        <item x="201"/>
        <item x="5"/>
        <item x="28"/>
        <item x="99"/>
        <item x="211"/>
        <item x="184"/>
        <item x="136"/>
        <item x="122"/>
        <item x="181"/>
        <item x="43"/>
        <item x="217"/>
        <item x="242"/>
        <item x="220"/>
        <item x="18"/>
        <item x="96"/>
        <item x="183"/>
        <item x="127"/>
        <item x="80"/>
        <item x="20"/>
        <item x="246"/>
        <item x="273"/>
        <item x="44"/>
        <item x="9"/>
        <item x="51"/>
        <item x="258"/>
        <item x="103"/>
        <item x="57"/>
        <item x="115"/>
        <item x="227"/>
        <item x="130"/>
        <item x="93"/>
        <item x="36"/>
        <item x="6"/>
        <item x="2"/>
        <item x="77"/>
        <item x="0"/>
        <item x="14"/>
        <item x="146"/>
        <item x="230"/>
        <item x="200"/>
        <item x="185"/>
        <item x="55"/>
        <item x="179"/>
        <item x="12"/>
        <item x="150"/>
        <item x="198"/>
        <item x="47"/>
        <item x="110"/>
        <item x="144"/>
        <item x="66"/>
        <item x="79"/>
        <item x="95"/>
        <item x="154"/>
        <item x="264"/>
        <item x="135"/>
        <item x="68"/>
        <item x="120"/>
        <item x="16"/>
        <item x="155"/>
        <item x="195"/>
        <item x="173"/>
        <item x="170"/>
        <item x="74"/>
        <item x="174"/>
        <item x="212"/>
        <item x="85"/>
        <item x="17"/>
        <item x="213"/>
        <item x="89"/>
        <item x="252"/>
        <item x="117"/>
        <item x="153"/>
        <item x="151"/>
        <item x="109"/>
        <item x="63"/>
        <item x="145"/>
        <item x="56"/>
        <item x="138"/>
        <item x="11"/>
        <item x="256"/>
        <item x="54"/>
        <item x="32"/>
        <item x="206"/>
        <item x="82"/>
        <item x="25"/>
        <item x="244"/>
        <item x="180"/>
        <item x="152"/>
        <item x="59"/>
        <item x="60"/>
        <item x="3"/>
        <item x="191"/>
        <item x="262"/>
        <item x="219"/>
        <item x="22"/>
        <item x="157"/>
        <item x="131"/>
        <item x="94"/>
        <item x="46"/>
        <item x="218"/>
        <item x="177"/>
        <item x="126"/>
        <item x="140"/>
        <item x="187"/>
        <item x="64"/>
        <item x="248"/>
        <item x="223"/>
        <item x="69"/>
        <item x="118"/>
        <item x="70"/>
        <item x="15"/>
        <item x="125"/>
        <item x="39"/>
        <item x="250"/>
        <item x="49"/>
        <item x="65"/>
        <item x="107"/>
        <item x="263"/>
        <item x="102"/>
        <item x="75"/>
        <item x="33"/>
        <item x="265"/>
        <item x="58"/>
        <item x="229"/>
        <item x="272"/>
        <item x="113"/>
        <item x="156"/>
        <item x="168"/>
        <item x="21"/>
        <item x="34"/>
        <item x="249"/>
        <item x="259"/>
        <item x="232"/>
        <item x="271"/>
        <item x="81"/>
        <item x="76"/>
        <item x="128"/>
        <item x="270"/>
        <item x="166"/>
        <item x="226"/>
        <item x="164"/>
        <item x="267"/>
        <item x="30"/>
        <item x="238"/>
        <item x="167"/>
        <item x="147"/>
        <item x="189"/>
        <item x="193"/>
        <item x="199"/>
        <item x="240"/>
        <item x="251"/>
        <item x="209"/>
        <item x="236"/>
        <item x="225"/>
        <item x="45"/>
        <item x="222"/>
        <item x="42"/>
        <item x="78"/>
        <item x="266"/>
        <item x="48"/>
        <item x="71"/>
        <item x="26"/>
        <item x="142"/>
        <item x="61"/>
        <item x="37"/>
        <item x="276"/>
        <item x="10"/>
        <item x="40"/>
        <item x="101"/>
        <item x="204"/>
        <item x="73"/>
        <item x="169"/>
        <item x="111"/>
        <item x="190"/>
        <item x="247"/>
        <item x="253"/>
        <item x="104"/>
        <item x="123"/>
        <item x="91"/>
        <item x="245"/>
        <item x="224"/>
        <item x="24"/>
        <item x="196"/>
        <item x="143"/>
        <item x="268"/>
        <item x="31"/>
        <item x="255"/>
        <item x="53"/>
        <item x="161"/>
        <item x="27"/>
        <item x="159"/>
        <item x="121"/>
        <item x="221"/>
        <item x="50"/>
        <item x="260"/>
        <item x="124"/>
        <item x="234"/>
        <item x="231"/>
        <item x="214"/>
        <item x="274"/>
        <item x="129"/>
        <item x="114"/>
        <item x="261"/>
        <item x="116"/>
        <item x="112"/>
        <item x="41"/>
        <item x="197"/>
        <item x="52"/>
        <item x="233"/>
        <item x="84"/>
        <item x="62"/>
        <item x="216"/>
        <item x="207"/>
        <item x="4"/>
        <item x="29"/>
        <item x="182"/>
        <item x="83"/>
        <item x="202"/>
        <item x="88"/>
        <item x="27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9B26D-2802-466B-AA05-BF68E70C092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I9" firstHeaderRow="0" firstDataRow="1" firstDataCol="1"/>
  <pivotFields count="15">
    <pivotField dataField="1" showAll="0"/>
    <pivotField showAll="0">
      <items count="279">
        <item x="165"/>
        <item x="23"/>
        <item x="7"/>
        <item x="13"/>
        <item x="90"/>
        <item x="160"/>
        <item x="139"/>
        <item x="241"/>
        <item x="162"/>
        <item x="237"/>
        <item x="108"/>
        <item x="203"/>
        <item x="8"/>
        <item x="97"/>
        <item x="178"/>
        <item x="105"/>
        <item x="192"/>
        <item x="175"/>
        <item x="254"/>
        <item x="186"/>
        <item x="86"/>
        <item x="235"/>
        <item x="215"/>
        <item x="228"/>
        <item x="35"/>
        <item x="205"/>
        <item x="194"/>
        <item x="134"/>
        <item x="19"/>
        <item x="98"/>
        <item x="119"/>
        <item x="1"/>
        <item x="257"/>
        <item x="269"/>
        <item x="208"/>
        <item x="141"/>
        <item x="133"/>
        <item x="137"/>
        <item x="100"/>
        <item x="38"/>
        <item x="163"/>
        <item x="72"/>
        <item x="92"/>
        <item x="188"/>
        <item x="243"/>
        <item x="210"/>
        <item x="275"/>
        <item x="87"/>
        <item x="239"/>
        <item x="172"/>
        <item x="67"/>
        <item x="148"/>
        <item x="106"/>
        <item x="176"/>
        <item x="158"/>
        <item x="171"/>
        <item x="132"/>
        <item x="149"/>
        <item x="201"/>
        <item x="5"/>
        <item x="28"/>
        <item x="99"/>
        <item x="211"/>
        <item x="184"/>
        <item x="136"/>
        <item x="122"/>
        <item x="181"/>
        <item x="43"/>
        <item x="217"/>
        <item x="242"/>
        <item x="220"/>
        <item x="18"/>
        <item x="96"/>
        <item x="183"/>
        <item x="127"/>
        <item x="80"/>
        <item x="20"/>
        <item x="246"/>
        <item x="273"/>
        <item x="44"/>
        <item x="9"/>
        <item x="51"/>
        <item x="258"/>
        <item x="103"/>
        <item x="57"/>
        <item x="115"/>
        <item x="227"/>
        <item x="130"/>
        <item x="93"/>
        <item x="36"/>
        <item x="6"/>
        <item x="2"/>
        <item x="77"/>
        <item x="0"/>
        <item x="14"/>
        <item x="146"/>
        <item x="230"/>
        <item x="200"/>
        <item x="185"/>
        <item x="55"/>
        <item x="179"/>
        <item x="12"/>
        <item x="150"/>
        <item x="198"/>
        <item x="47"/>
        <item x="110"/>
        <item x="144"/>
        <item x="66"/>
        <item x="79"/>
        <item x="95"/>
        <item x="154"/>
        <item x="264"/>
        <item x="135"/>
        <item x="68"/>
        <item x="120"/>
        <item x="16"/>
        <item x="155"/>
        <item x="195"/>
        <item x="173"/>
        <item x="170"/>
        <item x="74"/>
        <item x="174"/>
        <item x="212"/>
        <item x="85"/>
        <item x="17"/>
        <item x="213"/>
        <item x="89"/>
        <item x="252"/>
        <item x="117"/>
        <item x="153"/>
        <item x="151"/>
        <item x="109"/>
        <item x="63"/>
        <item x="145"/>
        <item x="56"/>
        <item x="138"/>
        <item x="11"/>
        <item x="256"/>
        <item x="54"/>
        <item x="32"/>
        <item x="206"/>
        <item x="82"/>
        <item x="25"/>
        <item x="244"/>
        <item x="180"/>
        <item x="152"/>
        <item x="59"/>
        <item x="60"/>
        <item x="3"/>
        <item x="191"/>
        <item x="262"/>
        <item x="219"/>
        <item x="22"/>
        <item x="157"/>
        <item x="131"/>
        <item x="94"/>
        <item x="46"/>
        <item x="218"/>
        <item x="177"/>
        <item x="126"/>
        <item x="140"/>
        <item x="187"/>
        <item x="64"/>
        <item x="248"/>
        <item x="223"/>
        <item x="69"/>
        <item x="118"/>
        <item x="70"/>
        <item x="15"/>
        <item x="125"/>
        <item x="39"/>
        <item x="250"/>
        <item x="49"/>
        <item x="65"/>
        <item x="107"/>
        <item x="263"/>
        <item x="102"/>
        <item x="75"/>
        <item x="33"/>
        <item x="265"/>
        <item x="58"/>
        <item x="229"/>
        <item x="272"/>
        <item x="113"/>
        <item x="156"/>
        <item x="168"/>
        <item x="21"/>
        <item x="34"/>
        <item x="249"/>
        <item x="259"/>
        <item x="232"/>
        <item x="271"/>
        <item x="81"/>
        <item x="76"/>
        <item x="128"/>
        <item x="270"/>
        <item x="166"/>
        <item x="226"/>
        <item x="164"/>
        <item x="267"/>
        <item x="30"/>
        <item x="238"/>
        <item x="167"/>
        <item x="147"/>
        <item x="189"/>
        <item x="193"/>
        <item x="199"/>
        <item x="240"/>
        <item x="251"/>
        <item x="209"/>
        <item x="236"/>
        <item x="225"/>
        <item x="45"/>
        <item x="222"/>
        <item x="42"/>
        <item x="78"/>
        <item x="266"/>
        <item x="48"/>
        <item x="71"/>
        <item x="26"/>
        <item x="142"/>
        <item x="61"/>
        <item x="37"/>
        <item x="276"/>
        <item x="10"/>
        <item x="40"/>
        <item x="101"/>
        <item x="204"/>
        <item x="73"/>
        <item x="169"/>
        <item x="111"/>
        <item x="190"/>
        <item x="247"/>
        <item x="253"/>
        <item x="104"/>
        <item x="123"/>
        <item x="91"/>
        <item x="245"/>
        <item x="224"/>
        <item x="24"/>
        <item x="196"/>
        <item x="143"/>
        <item x="268"/>
        <item x="31"/>
        <item x="255"/>
        <item x="53"/>
        <item x="161"/>
        <item x="27"/>
        <item x="159"/>
        <item x="121"/>
        <item x="221"/>
        <item x="50"/>
        <item x="260"/>
        <item x="124"/>
        <item x="234"/>
        <item x="231"/>
        <item x="214"/>
        <item x="274"/>
        <item x="129"/>
        <item x="114"/>
        <item x="261"/>
        <item x="116"/>
        <item x="112"/>
        <item x="41"/>
        <item x="197"/>
        <item x="52"/>
        <item x="233"/>
        <item x="84"/>
        <item x="62"/>
        <item x="216"/>
        <item x="207"/>
        <item x="4"/>
        <item x="29"/>
        <item x="182"/>
        <item x="83"/>
        <item x="202"/>
        <item x="88"/>
        <item x="27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2DA57-3AB2-46ED-92DB-372FB9EC6D9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5">
    <pivotField showAll="0"/>
    <pivotField showAll="0">
      <items count="279">
        <item x="165"/>
        <item x="23"/>
        <item x="7"/>
        <item x="13"/>
        <item x="90"/>
        <item x="160"/>
        <item x="139"/>
        <item x="241"/>
        <item x="162"/>
        <item x="237"/>
        <item x="108"/>
        <item x="203"/>
        <item x="8"/>
        <item x="97"/>
        <item x="178"/>
        <item x="105"/>
        <item x="192"/>
        <item x="175"/>
        <item x="254"/>
        <item x="186"/>
        <item x="86"/>
        <item x="235"/>
        <item x="215"/>
        <item x="228"/>
        <item x="35"/>
        <item x="205"/>
        <item x="194"/>
        <item x="134"/>
        <item x="19"/>
        <item x="98"/>
        <item x="119"/>
        <item x="1"/>
        <item x="257"/>
        <item x="269"/>
        <item x="208"/>
        <item x="141"/>
        <item x="133"/>
        <item x="137"/>
        <item x="100"/>
        <item x="38"/>
        <item x="163"/>
        <item x="72"/>
        <item x="92"/>
        <item x="188"/>
        <item x="243"/>
        <item x="210"/>
        <item x="275"/>
        <item x="87"/>
        <item x="239"/>
        <item x="172"/>
        <item x="67"/>
        <item x="148"/>
        <item x="106"/>
        <item x="176"/>
        <item x="158"/>
        <item x="171"/>
        <item x="132"/>
        <item x="149"/>
        <item x="201"/>
        <item x="5"/>
        <item x="28"/>
        <item x="99"/>
        <item x="211"/>
        <item x="184"/>
        <item x="136"/>
        <item x="122"/>
        <item x="181"/>
        <item x="43"/>
        <item x="217"/>
        <item x="242"/>
        <item x="220"/>
        <item x="18"/>
        <item x="96"/>
        <item x="183"/>
        <item x="127"/>
        <item x="80"/>
        <item x="20"/>
        <item x="246"/>
        <item x="273"/>
        <item x="44"/>
        <item x="9"/>
        <item x="51"/>
        <item x="258"/>
        <item x="103"/>
        <item x="57"/>
        <item x="115"/>
        <item x="227"/>
        <item x="130"/>
        <item x="93"/>
        <item x="36"/>
        <item x="6"/>
        <item x="2"/>
        <item x="77"/>
        <item x="0"/>
        <item x="14"/>
        <item x="146"/>
        <item x="230"/>
        <item x="200"/>
        <item x="185"/>
        <item x="55"/>
        <item x="179"/>
        <item x="12"/>
        <item x="150"/>
        <item x="198"/>
        <item x="47"/>
        <item x="110"/>
        <item x="144"/>
        <item x="66"/>
        <item x="79"/>
        <item x="95"/>
        <item x="154"/>
        <item x="264"/>
        <item x="135"/>
        <item x="68"/>
        <item x="120"/>
        <item x="16"/>
        <item x="155"/>
        <item x="195"/>
        <item x="173"/>
        <item x="170"/>
        <item x="74"/>
        <item x="174"/>
        <item x="212"/>
        <item x="85"/>
        <item x="17"/>
        <item x="213"/>
        <item x="89"/>
        <item x="252"/>
        <item x="117"/>
        <item x="153"/>
        <item x="151"/>
        <item x="109"/>
        <item x="63"/>
        <item x="145"/>
        <item x="56"/>
        <item x="138"/>
        <item x="11"/>
        <item x="256"/>
        <item x="54"/>
        <item x="32"/>
        <item x="206"/>
        <item x="82"/>
        <item x="25"/>
        <item x="244"/>
        <item x="180"/>
        <item x="152"/>
        <item x="59"/>
        <item x="60"/>
        <item x="3"/>
        <item x="191"/>
        <item x="262"/>
        <item x="219"/>
        <item x="22"/>
        <item x="157"/>
        <item x="131"/>
        <item x="94"/>
        <item x="46"/>
        <item x="218"/>
        <item x="177"/>
        <item x="126"/>
        <item x="140"/>
        <item x="187"/>
        <item x="64"/>
        <item x="248"/>
        <item x="223"/>
        <item x="69"/>
        <item x="118"/>
        <item x="70"/>
        <item x="15"/>
        <item x="125"/>
        <item x="39"/>
        <item x="250"/>
        <item x="49"/>
        <item x="65"/>
        <item x="107"/>
        <item x="263"/>
        <item x="102"/>
        <item x="75"/>
        <item x="33"/>
        <item x="265"/>
        <item x="58"/>
        <item x="229"/>
        <item x="272"/>
        <item x="113"/>
        <item x="156"/>
        <item x="168"/>
        <item x="21"/>
        <item x="34"/>
        <item x="249"/>
        <item x="259"/>
        <item x="232"/>
        <item x="271"/>
        <item x="81"/>
        <item x="76"/>
        <item x="128"/>
        <item x="270"/>
        <item x="166"/>
        <item x="226"/>
        <item x="164"/>
        <item x="267"/>
        <item x="30"/>
        <item x="238"/>
        <item x="167"/>
        <item x="147"/>
        <item x="189"/>
        <item x="193"/>
        <item x="199"/>
        <item x="240"/>
        <item x="251"/>
        <item x="209"/>
        <item x="236"/>
        <item x="225"/>
        <item x="45"/>
        <item x="222"/>
        <item x="42"/>
        <item x="78"/>
        <item x="266"/>
        <item x="48"/>
        <item x="71"/>
        <item x="26"/>
        <item x="142"/>
        <item x="61"/>
        <item x="37"/>
        <item x="276"/>
        <item x="10"/>
        <item x="40"/>
        <item x="101"/>
        <item x="204"/>
        <item x="73"/>
        <item x="169"/>
        <item x="111"/>
        <item x="190"/>
        <item x="247"/>
        <item x="253"/>
        <item x="104"/>
        <item x="123"/>
        <item x="91"/>
        <item x="245"/>
        <item x="224"/>
        <item x="24"/>
        <item x="196"/>
        <item x="143"/>
        <item x="268"/>
        <item x="31"/>
        <item x="255"/>
        <item x="53"/>
        <item x="161"/>
        <item x="27"/>
        <item x="159"/>
        <item x="121"/>
        <item x="221"/>
        <item x="50"/>
        <item x="260"/>
        <item x="124"/>
        <item x="234"/>
        <item x="231"/>
        <item x="214"/>
        <item x="274"/>
        <item x="129"/>
        <item x="114"/>
        <item x="261"/>
        <item x="116"/>
        <item x="112"/>
        <item x="41"/>
        <item x="197"/>
        <item x="52"/>
        <item x="233"/>
        <item x="84"/>
        <item x="62"/>
        <item x="216"/>
        <item x="207"/>
        <item x="4"/>
        <item x="29"/>
        <item x="182"/>
        <item x="83"/>
        <item x="202"/>
        <item x="88"/>
        <item x="277"/>
        <item t="default"/>
      </items>
    </pivotField>
    <pivotField showAll="0"/>
    <pivotField dataField="1"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Lead Time" fld="3" subtotal="average" baseField="4" baseItem="0"/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workbookViewId="0">
      <selection sqref="A1:M1048576"/>
    </sheetView>
  </sheetViews>
  <sheetFormatPr defaultRowHeight="14.4" x14ac:dyDescent="0.3"/>
  <cols>
    <col min="1" max="1" width="8.6640625" bestFit="1" customWidth="1"/>
    <col min="2" max="3" width="10.33203125" bestFit="1" customWidth="1"/>
    <col min="4" max="4" width="10.33203125" style="6" customWidth="1"/>
    <col min="5" max="5" width="9.109375" bestFit="1" customWidth="1"/>
    <col min="6" max="6" width="7.6640625" bestFit="1" customWidth="1"/>
    <col min="7" max="7" width="10.44140625" bestFit="1" customWidth="1"/>
    <col min="8" max="8" width="6.88671875" bestFit="1" customWidth="1"/>
    <col min="9" max="9" width="8" bestFit="1" customWidth="1"/>
    <col min="10" max="11" width="9" style="2" bestFit="1" customWidth="1"/>
    <col min="12" max="12" width="9" style="2" customWidth="1"/>
    <col min="13" max="13" width="9.5546875" bestFit="1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5" t="s">
        <v>529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  <c r="K1" s="4" t="s">
        <v>9</v>
      </c>
      <c r="L1" s="4" t="s">
        <v>530</v>
      </c>
      <c r="M1" s="3" t="s">
        <v>10</v>
      </c>
    </row>
    <row r="2" spans="1:13" x14ac:dyDescent="0.3">
      <c r="A2" t="s">
        <v>11</v>
      </c>
      <c r="B2" s="1">
        <v>45437</v>
      </c>
      <c r="C2" s="1">
        <v>45440</v>
      </c>
      <c r="D2" s="6">
        <f>C2-B2</f>
        <v>3</v>
      </c>
      <c r="E2" t="s">
        <v>12</v>
      </c>
      <c r="F2" t="s">
        <v>13</v>
      </c>
      <c r="G2" t="s">
        <v>14</v>
      </c>
      <c r="H2" t="s">
        <v>15</v>
      </c>
      <c r="I2">
        <v>1</v>
      </c>
      <c r="J2" s="2">
        <v>489.65</v>
      </c>
      <c r="K2" s="2">
        <v>384.44</v>
      </c>
      <c r="L2" s="2">
        <f>J2-K2</f>
        <v>105.20999999999998</v>
      </c>
      <c r="M2" t="s">
        <v>16</v>
      </c>
    </row>
    <row r="3" spans="1:13" x14ac:dyDescent="0.3">
      <c r="A3" t="s">
        <v>17</v>
      </c>
      <c r="B3" s="1">
        <v>45346</v>
      </c>
      <c r="C3" s="1">
        <v>45355</v>
      </c>
      <c r="D3" s="6">
        <f t="shared" ref="D3:D66" si="0">C3-B3</f>
        <v>9</v>
      </c>
      <c r="E3" t="s">
        <v>18</v>
      </c>
      <c r="F3" t="s">
        <v>13</v>
      </c>
      <c r="G3" t="s">
        <v>19</v>
      </c>
      <c r="H3" t="s">
        <v>20</v>
      </c>
      <c r="I3">
        <v>6</v>
      </c>
      <c r="J3" s="2">
        <v>528.55999999999995</v>
      </c>
      <c r="K3" s="2">
        <v>351.89</v>
      </c>
      <c r="L3" s="2">
        <f t="shared" ref="L3:L66" si="1">J3-K3</f>
        <v>176.66999999999996</v>
      </c>
      <c r="M3" t="s">
        <v>21</v>
      </c>
    </row>
    <row r="4" spans="1:13" x14ac:dyDescent="0.3">
      <c r="A4" t="s">
        <v>22</v>
      </c>
      <c r="B4" s="1">
        <v>45433</v>
      </c>
      <c r="C4" s="1">
        <v>45437</v>
      </c>
      <c r="D4" s="6">
        <f t="shared" si="0"/>
        <v>4</v>
      </c>
      <c r="E4" t="s">
        <v>23</v>
      </c>
      <c r="F4" t="s">
        <v>24</v>
      </c>
      <c r="G4" t="s">
        <v>14</v>
      </c>
      <c r="H4" t="s">
        <v>25</v>
      </c>
      <c r="I4">
        <v>2</v>
      </c>
      <c r="J4" s="2">
        <v>159.43</v>
      </c>
      <c r="K4" s="2">
        <v>113.65</v>
      </c>
      <c r="L4" s="2">
        <f t="shared" si="1"/>
        <v>45.78</v>
      </c>
      <c r="M4" t="s">
        <v>16</v>
      </c>
    </row>
    <row r="5" spans="1:13" x14ac:dyDescent="0.3">
      <c r="A5" t="s">
        <v>26</v>
      </c>
      <c r="B5" s="1">
        <v>45502</v>
      </c>
      <c r="C5" s="1">
        <v>45508</v>
      </c>
      <c r="D5" s="6">
        <f t="shared" si="0"/>
        <v>6</v>
      </c>
      <c r="E5" t="s">
        <v>23</v>
      </c>
      <c r="F5" t="s">
        <v>27</v>
      </c>
      <c r="G5" t="s">
        <v>14</v>
      </c>
      <c r="H5" t="s">
        <v>15</v>
      </c>
      <c r="I5">
        <v>1</v>
      </c>
      <c r="J5" s="2">
        <v>924.41</v>
      </c>
      <c r="K5" s="2">
        <v>566.88</v>
      </c>
      <c r="L5" s="2">
        <f t="shared" si="1"/>
        <v>357.53</v>
      </c>
      <c r="M5" t="s">
        <v>16</v>
      </c>
    </row>
    <row r="6" spans="1:13" x14ac:dyDescent="0.3">
      <c r="A6" t="s">
        <v>28</v>
      </c>
      <c r="B6" s="1">
        <v>45651</v>
      </c>
      <c r="C6" s="1">
        <v>45661</v>
      </c>
      <c r="D6" s="6">
        <f t="shared" si="0"/>
        <v>10</v>
      </c>
      <c r="E6" t="s">
        <v>12</v>
      </c>
      <c r="F6" t="s">
        <v>27</v>
      </c>
      <c r="G6" t="s">
        <v>14</v>
      </c>
      <c r="H6" t="s">
        <v>25</v>
      </c>
      <c r="I6">
        <v>6</v>
      </c>
      <c r="J6" s="2">
        <v>1656.49</v>
      </c>
      <c r="K6" s="2">
        <v>1032.26</v>
      </c>
      <c r="L6" s="2">
        <f t="shared" si="1"/>
        <v>624.23</v>
      </c>
      <c r="M6" t="s">
        <v>29</v>
      </c>
    </row>
    <row r="7" spans="1:13" x14ac:dyDescent="0.3">
      <c r="A7" t="s">
        <v>30</v>
      </c>
      <c r="B7" s="1">
        <v>45383</v>
      </c>
      <c r="C7" s="1">
        <v>45391</v>
      </c>
      <c r="D7" s="6">
        <f t="shared" si="0"/>
        <v>8</v>
      </c>
      <c r="E7" t="s">
        <v>18</v>
      </c>
      <c r="F7" t="s">
        <v>31</v>
      </c>
      <c r="G7" t="s">
        <v>19</v>
      </c>
      <c r="H7" t="s">
        <v>15</v>
      </c>
      <c r="I7">
        <v>1</v>
      </c>
      <c r="J7" s="2">
        <v>1386.43</v>
      </c>
      <c r="K7" s="2">
        <v>1043.47</v>
      </c>
      <c r="L7" s="2">
        <f t="shared" si="1"/>
        <v>342.96000000000004</v>
      </c>
      <c r="M7" t="s">
        <v>21</v>
      </c>
    </row>
    <row r="8" spans="1:13" x14ac:dyDescent="0.3">
      <c r="A8" t="s">
        <v>32</v>
      </c>
      <c r="B8" s="1">
        <v>45432</v>
      </c>
      <c r="C8" s="1">
        <v>45435</v>
      </c>
      <c r="D8" s="6">
        <f t="shared" si="0"/>
        <v>3</v>
      </c>
      <c r="E8" t="s">
        <v>23</v>
      </c>
      <c r="F8" t="s">
        <v>33</v>
      </c>
      <c r="G8" t="s">
        <v>19</v>
      </c>
      <c r="H8" t="s">
        <v>15</v>
      </c>
      <c r="I8">
        <v>10</v>
      </c>
      <c r="J8" s="2">
        <v>1345.45</v>
      </c>
      <c r="K8" s="2">
        <v>1025.8499999999999</v>
      </c>
      <c r="L8" s="2">
        <f t="shared" si="1"/>
        <v>319.60000000000014</v>
      </c>
      <c r="M8" t="s">
        <v>29</v>
      </c>
    </row>
    <row r="9" spans="1:13" x14ac:dyDescent="0.3">
      <c r="A9" t="s">
        <v>34</v>
      </c>
      <c r="B9" s="1">
        <v>45295</v>
      </c>
      <c r="C9" s="1">
        <v>45305</v>
      </c>
      <c r="D9" s="6">
        <f t="shared" si="0"/>
        <v>10</v>
      </c>
      <c r="E9" t="s">
        <v>12</v>
      </c>
      <c r="F9" t="s">
        <v>31</v>
      </c>
      <c r="G9" t="s">
        <v>19</v>
      </c>
      <c r="H9" t="s">
        <v>25</v>
      </c>
      <c r="I9">
        <v>5</v>
      </c>
      <c r="J9" s="2">
        <v>618.49</v>
      </c>
      <c r="K9" s="2">
        <v>452.33</v>
      </c>
      <c r="L9" s="2">
        <f t="shared" si="1"/>
        <v>166.16000000000003</v>
      </c>
      <c r="M9" t="s">
        <v>16</v>
      </c>
    </row>
    <row r="10" spans="1:13" x14ac:dyDescent="0.3">
      <c r="A10" t="s">
        <v>35</v>
      </c>
      <c r="B10" s="1">
        <v>45311</v>
      </c>
      <c r="C10" s="1">
        <v>45319</v>
      </c>
      <c r="D10" s="6">
        <f t="shared" si="0"/>
        <v>8</v>
      </c>
      <c r="E10" t="s">
        <v>18</v>
      </c>
      <c r="F10" t="s">
        <v>33</v>
      </c>
      <c r="G10" t="s">
        <v>19</v>
      </c>
      <c r="H10" t="s">
        <v>20</v>
      </c>
      <c r="I10">
        <v>7</v>
      </c>
      <c r="J10" s="2">
        <v>892.87</v>
      </c>
      <c r="K10" s="2">
        <v>736.15</v>
      </c>
      <c r="L10" s="2">
        <f t="shared" si="1"/>
        <v>156.72000000000003</v>
      </c>
      <c r="M10" t="s">
        <v>29</v>
      </c>
    </row>
    <row r="11" spans="1:13" x14ac:dyDescent="0.3">
      <c r="A11" t="s">
        <v>36</v>
      </c>
      <c r="B11" s="1">
        <v>45414</v>
      </c>
      <c r="C11" s="1">
        <v>45423</v>
      </c>
      <c r="D11" s="6">
        <f t="shared" si="0"/>
        <v>9</v>
      </c>
      <c r="E11" t="s">
        <v>12</v>
      </c>
      <c r="F11" t="s">
        <v>33</v>
      </c>
      <c r="G11" t="s">
        <v>19</v>
      </c>
      <c r="H11" t="s">
        <v>15</v>
      </c>
      <c r="I11">
        <v>2</v>
      </c>
      <c r="J11" s="2">
        <v>1971.6</v>
      </c>
      <c r="K11" s="2">
        <v>1433.78</v>
      </c>
      <c r="L11" s="2">
        <f t="shared" si="1"/>
        <v>537.81999999999994</v>
      </c>
      <c r="M11" t="s">
        <v>29</v>
      </c>
    </row>
    <row r="12" spans="1:13" x14ac:dyDescent="0.3">
      <c r="A12" t="s">
        <v>37</v>
      </c>
      <c r="B12" s="1">
        <v>45593</v>
      </c>
      <c r="C12" s="1">
        <v>45599</v>
      </c>
      <c r="D12" s="6">
        <f t="shared" si="0"/>
        <v>6</v>
      </c>
      <c r="E12" t="s">
        <v>12</v>
      </c>
      <c r="F12" t="s">
        <v>33</v>
      </c>
      <c r="G12" t="s">
        <v>14</v>
      </c>
      <c r="H12" t="s">
        <v>25</v>
      </c>
      <c r="I12">
        <v>1</v>
      </c>
      <c r="J12" s="2">
        <v>1810.13</v>
      </c>
      <c r="K12" s="2">
        <v>1252.1099999999999</v>
      </c>
      <c r="L12" s="2">
        <f t="shared" si="1"/>
        <v>558.02000000000021</v>
      </c>
      <c r="M12" t="s">
        <v>16</v>
      </c>
    </row>
    <row r="13" spans="1:13" x14ac:dyDescent="0.3">
      <c r="A13" t="s">
        <v>38</v>
      </c>
      <c r="B13" s="1">
        <v>45489</v>
      </c>
      <c r="C13" s="1">
        <v>45492</v>
      </c>
      <c r="D13" s="6">
        <f t="shared" si="0"/>
        <v>3</v>
      </c>
      <c r="E13" t="s">
        <v>12</v>
      </c>
      <c r="F13" t="s">
        <v>13</v>
      </c>
      <c r="G13" t="s">
        <v>19</v>
      </c>
      <c r="H13" t="s">
        <v>15</v>
      </c>
      <c r="I13">
        <v>6</v>
      </c>
      <c r="J13" s="2">
        <v>577.03</v>
      </c>
      <c r="K13" s="2">
        <v>435.03</v>
      </c>
      <c r="L13" s="2">
        <f t="shared" si="1"/>
        <v>142</v>
      </c>
      <c r="M13" t="s">
        <v>16</v>
      </c>
    </row>
    <row r="14" spans="1:13" x14ac:dyDescent="0.3">
      <c r="A14" t="s">
        <v>39</v>
      </c>
      <c r="B14" s="1">
        <v>45449</v>
      </c>
      <c r="C14" s="1">
        <v>45457</v>
      </c>
      <c r="D14" s="6">
        <f t="shared" si="0"/>
        <v>8</v>
      </c>
      <c r="E14" t="s">
        <v>23</v>
      </c>
      <c r="F14" t="s">
        <v>13</v>
      </c>
      <c r="G14" t="s">
        <v>19</v>
      </c>
      <c r="H14" t="s">
        <v>40</v>
      </c>
      <c r="I14">
        <v>4</v>
      </c>
      <c r="J14" s="2">
        <v>1801.85</v>
      </c>
      <c r="K14" s="2">
        <v>1287.72</v>
      </c>
      <c r="L14" s="2">
        <f t="shared" si="1"/>
        <v>514.12999999999988</v>
      </c>
      <c r="M14" t="s">
        <v>21</v>
      </c>
    </row>
    <row r="15" spans="1:13" x14ac:dyDescent="0.3">
      <c r="A15" t="s">
        <v>41</v>
      </c>
      <c r="B15" s="1">
        <v>45300</v>
      </c>
      <c r="C15" s="1">
        <v>45309</v>
      </c>
      <c r="D15" s="6">
        <f t="shared" si="0"/>
        <v>9</v>
      </c>
      <c r="E15" t="s">
        <v>42</v>
      </c>
      <c r="F15" t="s">
        <v>24</v>
      </c>
      <c r="G15" t="s">
        <v>14</v>
      </c>
      <c r="H15" t="s">
        <v>40</v>
      </c>
      <c r="I15">
        <v>7</v>
      </c>
      <c r="J15" s="2">
        <v>1015.45</v>
      </c>
      <c r="K15" s="2">
        <v>858.11</v>
      </c>
      <c r="L15" s="2">
        <f t="shared" si="1"/>
        <v>157.34000000000003</v>
      </c>
      <c r="M15" t="s">
        <v>16</v>
      </c>
    </row>
    <row r="16" spans="1:13" x14ac:dyDescent="0.3">
      <c r="A16" t="s">
        <v>43</v>
      </c>
      <c r="B16" s="1">
        <v>45438</v>
      </c>
      <c r="C16" s="1">
        <v>45446</v>
      </c>
      <c r="D16" s="6">
        <f t="shared" si="0"/>
        <v>8</v>
      </c>
      <c r="E16" t="s">
        <v>18</v>
      </c>
      <c r="F16" t="s">
        <v>31</v>
      </c>
      <c r="G16" t="s">
        <v>19</v>
      </c>
      <c r="H16" t="s">
        <v>25</v>
      </c>
      <c r="I16">
        <v>9</v>
      </c>
      <c r="J16" s="2">
        <v>234.72</v>
      </c>
      <c r="K16" s="2">
        <v>176.02</v>
      </c>
      <c r="L16" s="2">
        <f t="shared" si="1"/>
        <v>58.699999999999989</v>
      </c>
      <c r="M16" t="s">
        <v>21</v>
      </c>
    </row>
    <row r="17" spans="1:13" x14ac:dyDescent="0.3">
      <c r="A17" t="s">
        <v>44</v>
      </c>
      <c r="B17" s="1">
        <v>45533</v>
      </c>
      <c r="C17" s="1">
        <v>45537</v>
      </c>
      <c r="D17" s="6">
        <f t="shared" si="0"/>
        <v>4</v>
      </c>
      <c r="E17" t="s">
        <v>18</v>
      </c>
      <c r="F17" t="s">
        <v>27</v>
      </c>
      <c r="G17" t="s">
        <v>19</v>
      </c>
      <c r="H17" t="s">
        <v>15</v>
      </c>
      <c r="I17">
        <v>8</v>
      </c>
      <c r="J17" s="2">
        <v>1245.04</v>
      </c>
      <c r="K17" s="2">
        <v>747.98</v>
      </c>
      <c r="L17" s="2">
        <f t="shared" si="1"/>
        <v>497.05999999999995</v>
      </c>
      <c r="M17" t="s">
        <v>29</v>
      </c>
    </row>
    <row r="18" spans="1:13" x14ac:dyDescent="0.3">
      <c r="A18" t="s">
        <v>45</v>
      </c>
      <c r="B18" s="1">
        <v>45464</v>
      </c>
      <c r="C18" s="1">
        <v>45467</v>
      </c>
      <c r="D18" s="6">
        <f t="shared" si="0"/>
        <v>3</v>
      </c>
      <c r="E18" t="s">
        <v>18</v>
      </c>
      <c r="F18" t="s">
        <v>33</v>
      </c>
      <c r="G18" t="s">
        <v>14</v>
      </c>
      <c r="H18" t="s">
        <v>15</v>
      </c>
      <c r="I18">
        <v>1</v>
      </c>
      <c r="J18" s="2">
        <v>336.68</v>
      </c>
      <c r="K18" s="2">
        <v>256.89999999999998</v>
      </c>
      <c r="L18" s="2">
        <f t="shared" si="1"/>
        <v>79.78000000000003</v>
      </c>
      <c r="M18" t="s">
        <v>16</v>
      </c>
    </row>
    <row r="19" spans="1:13" x14ac:dyDescent="0.3">
      <c r="A19" t="s">
        <v>46</v>
      </c>
      <c r="B19" s="1">
        <v>45474</v>
      </c>
      <c r="C19" s="1">
        <v>45483</v>
      </c>
      <c r="D19" s="6">
        <f t="shared" si="0"/>
        <v>9</v>
      </c>
      <c r="E19" t="s">
        <v>12</v>
      </c>
      <c r="F19" t="s">
        <v>31</v>
      </c>
      <c r="G19" t="s">
        <v>14</v>
      </c>
      <c r="H19" t="s">
        <v>15</v>
      </c>
      <c r="I19">
        <v>2</v>
      </c>
      <c r="J19" s="2">
        <v>591.14</v>
      </c>
      <c r="K19" s="2">
        <v>411.92</v>
      </c>
      <c r="L19" s="2">
        <f t="shared" si="1"/>
        <v>179.21999999999997</v>
      </c>
      <c r="M19" t="s">
        <v>16</v>
      </c>
    </row>
    <row r="20" spans="1:13" x14ac:dyDescent="0.3">
      <c r="A20" t="s">
        <v>47</v>
      </c>
      <c r="B20" s="1">
        <v>45401</v>
      </c>
      <c r="C20" s="1">
        <v>45411</v>
      </c>
      <c r="D20" s="6">
        <f t="shared" si="0"/>
        <v>10</v>
      </c>
      <c r="E20" t="s">
        <v>42</v>
      </c>
      <c r="F20" t="s">
        <v>13</v>
      </c>
      <c r="G20" t="s">
        <v>14</v>
      </c>
      <c r="H20" t="s">
        <v>40</v>
      </c>
      <c r="I20">
        <v>7</v>
      </c>
      <c r="J20" s="2">
        <v>823.48</v>
      </c>
      <c r="K20" s="2">
        <v>663.43</v>
      </c>
      <c r="L20" s="2">
        <f t="shared" si="1"/>
        <v>160.05000000000007</v>
      </c>
      <c r="M20" t="s">
        <v>16</v>
      </c>
    </row>
    <row r="21" spans="1:13" x14ac:dyDescent="0.3">
      <c r="A21" t="s">
        <v>48</v>
      </c>
      <c r="B21" s="1">
        <v>45343</v>
      </c>
      <c r="C21" s="1">
        <v>45346</v>
      </c>
      <c r="D21" s="6">
        <f t="shared" si="0"/>
        <v>3</v>
      </c>
      <c r="E21" t="s">
        <v>42</v>
      </c>
      <c r="F21" t="s">
        <v>24</v>
      </c>
      <c r="G21" t="s">
        <v>19</v>
      </c>
      <c r="H21" t="s">
        <v>25</v>
      </c>
      <c r="I21">
        <v>9</v>
      </c>
      <c r="J21" s="2">
        <v>1280.68</v>
      </c>
      <c r="K21" s="2">
        <v>860.81</v>
      </c>
      <c r="L21" s="2">
        <f t="shared" si="1"/>
        <v>419.87000000000012</v>
      </c>
      <c r="M21" t="s">
        <v>16</v>
      </c>
    </row>
    <row r="22" spans="1:13" x14ac:dyDescent="0.3">
      <c r="A22" t="s">
        <v>49</v>
      </c>
      <c r="B22" s="1">
        <v>45407</v>
      </c>
      <c r="C22" s="1">
        <v>45412</v>
      </c>
      <c r="D22" s="6">
        <f t="shared" si="0"/>
        <v>5</v>
      </c>
      <c r="E22" t="s">
        <v>42</v>
      </c>
      <c r="F22" t="s">
        <v>33</v>
      </c>
      <c r="G22" t="s">
        <v>14</v>
      </c>
      <c r="H22" t="s">
        <v>20</v>
      </c>
      <c r="I22">
        <v>8</v>
      </c>
      <c r="J22" s="2">
        <v>1942.51</v>
      </c>
      <c r="K22" s="2">
        <v>1432.97</v>
      </c>
      <c r="L22" s="2">
        <f t="shared" si="1"/>
        <v>509.53999999999996</v>
      </c>
      <c r="M22" t="s">
        <v>29</v>
      </c>
    </row>
    <row r="23" spans="1:13" x14ac:dyDescent="0.3">
      <c r="A23" t="s">
        <v>50</v>
      </c>
      <c r="B23" s="1">
        <v>45551</v>
      </c>
      <c r="C23" s="1">
        <v>45560</v>
      </c>
      <c r="D23" s="6">
        <f t="shared" si="0"/>
        <v>9</v>
      </c>
      <c r="E23" t="s">
        <v>12</v>
      </c>
      <c r="F23" t="s">
        <v>27</v>
      </c>
      <c r="G23" t="s">
        <v>14</v>
      </c>
      <c r="H23" t="s">
        <v>20</v>
      </c>
      <c r="I23">
        <v>9</v>
      </c>
      <c r="J23" s="2">
        <v>203.99</v>
      </c>
      <c r="K23" s="2">
        <v>166.42</v>
      </c>
      <c r="L23" s="2">
        <f t="shared" si="1"/>
        <v>37.570000000000022</v>
      </c>
      <c r="M23" t="s">
        <v>21</v>
      </c>
    </row>
    <row r="24" spans="1:13" x14ac:dyDescent="0.3">
      <c r="A24" t="s">
        <v>51</v>
      </c>
      <c r="B24" s="1">
        <v>45507</v>
      </c>
      <c r="C24" s="1">
        <v>45513</v>
      </c>
      <c r="D24" s="6">
        <f t="shared" si="0"/>
        <v>6</v>
      </c>
      <c r="E24" t="s">
        <v>18</v>
      </c>
      <c r="F24" t="s">
        <v>31</v>
      </c>
      <c r="G24" t="s">
        <v>19</v>
      </c>
      <c r="H24" t="s">
        <v>25</v>
      </c>
      <c r="I24">
        <v>10</v>
      </c>
      <c r="J24" s="2">
        <v>1127.27</v>
      </c>
      <c r="K24" s="2">
        <v>762.44</v>
      </c>
      <c r="L24" s="2">
        <f t="shared" si="1"/>
        <v>364.82999999999993</v>
      </c>
      <c r="M24" t="s">
        <v>29</v>
      </c>
    </row>
    <row r="25" spans="1:13" x14ac:dyDescent="0.3">
      <c r="A25" t="s">
        <v>52</v>
      </c>
      <c r="B25" s="1">
        <v>45294</v>
      </c>
      <c r="C25" s="1">
        <v>45298</v>
      </c>
      <c r="D25" s="6">
        <f t="shared" si="0"/>
        <v>4</v>
      </c>
      <c r="E25" t="s">
        <v>12</v>
      </c>
      <c r="F25" t="s">
        <v>31</v>
      </c>
      <c r="G25" t="s">
        <v>14</v>
      </c>
      <c r="H25" t="s">
        <v>25</v>
      </c>
      <c r="I25">
        <v>2</v>
      </c>
      <c r="J25" s="2">
        <v>1708.66</v>
      </c>
      <c r="K25" s="2">
        <v>1274.44</v>
      </c>
      <c r="L25" s="2">
        <f t="shared" si="1"/>
        <v>434.22</v>
      </c>
      <c r="M25" t="s">
        <v>29</v>
      </c>
    </row>
    <row r="26" spans="1:13" x14ac:dyDescent="0.3">
      <c r="A26" t="s">
        <v>53</v>
      </c>
      <c r="B26" s="1">
        <v>45407</v>
      </c>
      <c r="C26" s="1">
        <v>45412</v>
      </c>
      <c r="D26" s="6">
        <f t="shared" si="0"/>
        <v>5</v>
      </c>
      <c r="E26" t="s">
        <v>12</v>
      </c>
      <c r="F26" t="s">
        <v>33</v>
      </c>
      <c r="G26" t="s">
        <v>14</v>
      </c>
      <c r="H26" t="s">
        <v>25</v>
      </c>
      <c r="I26">
        <v>7</v>
      </c>
      <c r="J26" s="2">
        <v>1522.9</v>
      </c>
      <c r="K26" s="2">
        <v>972.27</v>
      </c>
      <c r="L26" s="2">
        <f t="shared" si="1"/>
        <v>550.63000000000011</v>
      </c>
      <c r="M26" t="s">
        <v>21</v>
      </c>
    </row>
    <row r="27" spans="1:13" x14ac:dyDescent="0.3">
      <c r="A27" t="s">
        <v>54</v>
      </c>
      <c r="B27" s="1">
        <v>45611</v>
      </c>
      <c r="C27" s="1">
        <v>45620</v>
      </c>
      <c r="D27" s="6">
        <f t="shared" si="0"/>
        <v>9</v>
      </c>
      <c r="E27" t="s">
        <v>23</v>
      </c>
      <c r="F27" t="s">
        <v>13</v>
      </c>
      <c r="G27" t="s">
        <v>19</v>
      </c>
      <c r="H27" t="s">
        <v>40</v>
      </c>
      <c r="I27">
        <v>10</v>
      </c>
      <c r="J27" s="2">
        <v>727.93</v>
      </c>
      <c r="K27" s="2">
        <v>563.57000000000005</v>
      </c>
      <c r="L27" s="2">
        <f t="shared" si="1"/>
        <v>164.3599999999999</v>
      </c>
      <c r="M27" t="s">
        <v>21</v>
      </c>
    </row>
    <row r="28" spans="1:13" x14ac:dyDescent="0.3">
      <c r="A28" t="s">
        <v>55</v>
      </c>
      <c r="B28" s="1">
        <v>45496</v>
      </c>
      <c r="C28" s="1">
        <v>45501</v>
      </c>
      <c r="D28" s="6">
        <f t="shared" si="0"/>
        <v>5</v>
      </c>
      <c r="E28" t="s">
        <v>42</v>
      </c>
      <c r="F28" t="s">
        <v>24</v>
      </c>
      <c r="G28" t="s">
        <v>19</v>
      </c>
      <c r="H28" t="s">
        <v>20</v>
      </c>
      <c r="I28">
        <v>2</v>
      </c>
      <c r="J28" s="2">
        <v>1596.3</v>
      </c>
      <c r="K28" s="2">
        <v>1071.57</v>
      </c>
      <c r="L28" s="2">
        <f t="shared" si="1"/>
        <v>524.73</v>
      </c>
      <c r="M28" t="s">
        <v>21</v>
      </c>
    </row>
    <row r="29" spans="1:13" x14ac:dyDescent="0.3">
      <c r="A29" t="s">
        <v>56</v>
      </c>
      <c r="B29" s="1">
        <v>45588</v>
      </c>
      <c r="C29" s="1">
        <v>45594</v>
      </c>
      <c r="D29" s="6">
        <f t="shared" si="0"/>
        <v>6</v>
      </c>
      <c r="E29" t="s">
        <v>18</v>
      </c>
      <c r="F29" t="s">
        <v>24</v>
      </c>
      <c r="G29" t="s">
        <v>14</v>
      </c>
      <c r="H29" t="s">
        <v>15</v>
      </c>
      <c r="I29">
        <v>2</v>
      </c>
      <c r="J29" s="2">
        <v>1835.39</v>
      </c>
      <c r="K29" s="2">
        <v>1315.22</v>
      </c>
      <c r="L29" s="2">
        <f t="shared" si="1"/>
        <v>520.17000000000007</v>
      </c>
      <c r="M29" t="s">
        <v>29</v>
      </c>
    </row>
    <row r="30" spans="1:13" x14ac:dyDescent="0.3">
      <c r="A30" t="s">
        <v>57</v>
      </c>
      <c r="B30" s="1">
        <v>45623</v>
      </c>
      <c r="C30" s="1">
        <v>45633</v>
      </c>
      <c r="D30" s="6">
        <f t="shared" si="0"/>
        <v>10</v>
      </c>
      <c r="E30" t="s">
        <v>18</v>
      </c>
      <c r="F30" t="s">
        <v>31</v>
      </c>
      <c r="G30" t="s">
        <v>14</v>
      </c>
      <c r="H30" t="s">
        <v>20</v>
      </c>
      <c r="I30">
        <v>9</v>
      </c>
      <c r="J30" s="2">
        <v>391.75</v>
      </c>
      <c r="K30" s="2">
        <v>262.3</v>
      </c>
      <c r="L30" s="2">
        <f t="shared" si="1"/>
        <v>129.44999999999999</v>
      </c>
      <c r="M30" t="s">
        <v>16</v>
      </c>
    </row>
    <row r="31" spans="1:13" x14ac:dyDescent="0.3">
      <c r="A31" t="s">
        <v>58</v>
      </c>
      <c r="B31" s="1">
        <v>45384</v>
      </c>
      <c r="C31" s="1">
        <v>45389</v>
      </c>
      <c r="D31" s="6">
        <f t="shared" si="0"/>
        <v>5</v>
      </c>
      <c r="E31" t="s">
        <v>18</v>
      </c>
      <c r="F31" t="s">
        <v>24</v>
      </c>
      <c r="G31" t="s">
        <v>19</v>
      </c>
      <c r="H31" t="s">
        <v>25</v>
      </c>
      <c r="I31">
        <v>8</v>
      </c>
      <c r="J31" s="2">
        <v>443.68</v>
      </c>
      <c r="K31" s="2">
        <v>371.2</v>
      </c>
      <c r="L31" s="2">
        <f t="shared" si="1"/>
        <v>72.480000000000018</v>
      </c>
      <c r="M31" t="s">
        <v>21</v>
      </c>
    </row>
    <row r="32" spans="1:13" x14ac:dyDescent="0.3">
      <c r="A32" t="s">
        <v>59</v>
      </c>
      <c r="B32" s="1">
        <v>45652</v>
      </c>
      <c r="C32" s="1">
        <v>45657</v>
      </c>
      <c r="D32" s="6">
        <f t="shared" si="0"/>
        <v>5</v>
      </c>
      <c r="E32" t="s">
        <v>18</v>
      </c>
      <c r="F32" t="s">
        <v>31</v>
      </c>
      <c r="G32" t="s">
        <v>14</v>
      </c>
      <c r="H32" t="s">
        <v>25</v>
      </c>
      <c r="I32">
        <v>9</v>
      </c>
      <c r="J32" s="2">
        <v>467.19</v>
      </c>
      <c r="K32" s="2">
        <v>367.39</v>
      </c>
      <c r="L32" s="2">
        <f t="shared" si="1"/>
        <v>99.800000000000011</v>
      </c>
      <c r="M32" t="s">
        <v>29</v>
      </c>
    </row>
    <row r="33" spans="1:13" x14ac:dyDescent="0.3">
      <c r="A33" t="s">
        <v>60</v>
      </c>
      <c r="B33" s="1">
        <v>45566</v>
      </c>
      <c r="C33" s="1">
        <v>45576</v>
      </c>
      <c r="D33" s="6">
        <f t="shared" si="0"/>
        <v>10</v>
      </c>
      <c r="E33" t="s">
        <v>23</v>
      </c>
      <c r="F33" t="s">
        <v>33</v>
      </c>
      <c r="G33" t="s">
        <v>19</v>
      </c>
      <c r="H33" t="s">
        <v>40</v>
      </c>
      <c r="I33">
        <v>1</v>
      </c>
      <c r="J33" s="2">
        <v>607.20000000000005</v>
      </c>
      <c r="K33" s="2">
        <v>404.97</v>
      </c>
      <c r="L33" s="2">
        <f t="shared" si="1"/>
        <v>202.23000000000002</v>
      </c>
      <c r="M33" t="s">
        <v>29</v>
      </c>
    </row>
    <row r="34" spans="1:13" x14ac:dyDescent="0.3">
      <c r="A34" t="s">
        <v>61</v>
      </c>
      <c r="B34" s="1">
        <v>45617</v>
      </c>
      <c r="C34" s="1">
        <v>45619</v>
      </c>
      <c r="D34" s="6">
        <f t="shared" si="0"/>
        <v>2</v>
      </c>
      <c r="E34" t="s">
        <v>12</v>
      </c>
      <c r="F34" t="s">
        <v>31</v>
      </c>
      <c r="G34" t="s">
        <v>14</v>
      </c>
      <c r="H34" t="s">
        <v>20</v>
      </c>
      <c r="I34">
        <v>2</v>
      </c>
      <c r="J34" s="2">
        <v>1887.19</v>
      </c>
      <c r="K34" s="2">
        <v>1287.95</v>
      </c>
      <c r="L34" s="2">
        <f t="shared" si="1"/>
        <v>599.24</v>
      </c>
      <c r="M34" t="s">
        <v>21</v>
      </c>
    </row>
    <row r="35" spans="1:13" x14ac:dyDescent="0.3">
      <c r="A35" t="s">
        <v>62</v>
      </c>
      <c r="B35" s="1">
        <v>45492</v>
      </c>
      <c r="C35" s="1">
        <v>45497</v>
      </c>
      <c r="D35" s="6">
        <f t="shared" si="0"/>
        <v>5</v>
      </c>
      <c r="E35" t="s">
        <v>23</v>
      </c>
      <c r="F35" t="s">
        <v>33</v>
      </c>
      <c r="G35" t="s">
        <v>19</v>
      </c>
      <c r="H35" t="s">
        <v>40</v>
      </c>
      <c r="I35">
        <v>6</v>
      </c>
      <c r="J35" s="2">
        <v>1275.1500000000001</v>
      </c>
      <c r="K35" s="2">
        <v>834.66</v>
      </c>
      <c r="L35" s="2">
        <f t="shared" si="1"/>
        <v>440.49000000000012</v>
      </c>
      <c r="M35" t="s">
        <v>21</v>
      </c>
    </row>
    <row r="36" spans="1:13" x14ac:dyDescent="0.3">
      <c r="A36" t="s">
        <v>63</v>
      </c>
      <c r="B36" s="1">
        <v>45543</v>
      </c>
      <c r="C36" s="1">
        <v>45552</v>
      </c>
      <c r="D36" s="6">
        <f t="shared" si="0"/>
        <v>9</v>
      </c>
      <c r="E36" t="s">
        <v>18</v>
      </c>
      <c r="F36" t="s">
        <v>33</v>
      </c>
      <c r="G36" t="s">
        <v>19</v>
      </c>
      <c r="H36" t="s">
        <v>20</v>
      </c>
      <c r="I36">
        <v>7</v>
      </c>
      <c r="J36" s="2">
        <v>801.81</v>
      </c>
      <c r="K36" s="2">
        <v>644.76</v>
      </c>
      <c r="L36" s="2">
        <f t="shared" si="1"/>
        <v>157.04999999999995</v>
      </c>
      <c r="M36" t="s">
        <v>16</v>
      </c>
    </row>
    <row r="37" spans="1:13" x14ac:dyDescent="0.3">
      <c r="A37" t="s">
        <v>64</v>
      </c>
      <c r="B37" s="1">
        <v>45552</v>
      </c>
      <c r="C37" s="1">
        <v>45559</v>
      </c>
      <c r="D37" s="6">
        <f t="shared" si="0"/>
        <v>7</v>
      </c>
      <c r="E37" t="s">
        <v>42</v>
      </c>
      <c r="F37" t="s">
        <v>24</v>
      </c>
      <c r="G37" t="s">
        <v>19</v>
      </c>
      <c r="H37" t="s">
        <v>15</v>
      </c>
      <c r="I37">
        <v>4</v>
      </c>
      <c r="J37" s="2">
        <v>1832.11</v>
      </c>
      <c r="K37" s="2">
        <v>1532.17</v>
      </c>
      <c r="L37" s="2">
        <f t="shared" si="1"/>
        <v>299.93999999999983</v>
      </c>
      <c r="M37" t="s">
        <v>29</v>
      </c>
    </row>
    <row r="38" spans="1:13" x14ac:dyDescent="0.3">
      <c r="A38" t="s">
        <v>65</v>
      </c>
      <c r="B38" s="1">
        <v>45336</v>
      </c>
      <c r="C38" s="1">
        <v>45341</v>
      </c>
      <c r="D38" s="6">
        <f t="shared" si="0"/>
        <v>5</v>
      </c>
      <c r="E38" t="s">
        <v>12</v>
      </c>
      <c r="F38" t="s">
        <v>31</v>
      </c>
      <c r="G38" t="s">
        <v>14</v>
      </c>
      <c r="H38" t="s">
        <v>25</v>
      </c>
      <c r="I38">
        <v>5</v>
      </c>
      <c r="J38" s="2">
        <v>1442.27</v>
      </c>
      <c r="K38" s="2">
        <v>1074.1199999999999</v>
      </c>
      <c r="L38" s="2">
        <f t="shared" si="1"/>
        <v>368.15000000000009</v>
      </c>
      <c r="M38" t="s">
        <v>21</v>
      </c>
    </row>
    <row r="39" spans="1:13" x14ac:dyDescent="0.3">
      <c r="A39" t="s">
        <v>66</v>
      </c>
      <c r="B39" s="1">
        <v>45431</v>
      </c>
      <c r="C39" s="1">
        <v>45434</v>
      </c>
      <c r="D39" s="6">
        <f t="shared" si="0"/>
        <v>3</v>
      </c>
      <c r="E39" t="s">
        <v>12</v>
      </c>
      <c r="F39" t="s">
        <v>13</v>
      </c>
      <c r="G39" t="s">
        <v>14</v>
      </c>
      <c r="H39" t="s">
        <v>15</v>
      </c>
      <c r="I39">
        <v>9</v>
      </c>
      <c r="J39" s="2">
        <v>794.96</v>
      </c>
      <c r="K39" s="2">
        <v>499.8</v>
      </c>
      <c r="L39" s="2">
        <f t="shared" si="1"/>
        <v>295.16000000000003</v>
      </c>
      <c r="M39" t="s">
        <v>21</v>
      </c>
    </row>
    <row r="40" spans="1:13" x14ac:dyDescent="0.3">
      <c r="A40" t="s">
        <v>67</v>
      </c>
      <c r="B40" s="1">
        <v>45591</v>
      </c>
      <c r="C40" s="1">
        <v>45600</v>
      </c>
      <c r="D40" s="6">
        <f t="shared" si="0"/>
        <v>9</v>
      </c>
      <c r="E40" t="s">
        <v>42</v>
      </c>
      <c r="F40" t="s">
        <v>27</v>
      </c>
      <c r="G40" t="s">
        <v>14</v>
      </c>
      <c r="H40" t="s">
        <v>20</v>
      </c>
      <c r="I40">
        <v>9</v>
      </c>
      <c r="J40" s="2">
        <v>412.19</v>
      </c>
      <c r="K40" s="2">
        <v>257.32</v>
      </c>
      <c r="L40" s="2">
        <f t="shared" si="1"/>
        <v>154.87</v>
      </c>
      <c r="M40" t="s">
        <v>29</v>
      </c>
    </row>
    <row r="41" spans="1:13" x14ac:dyDescent="0.3">
      <c r="A41" t="s">
        <v>68</v>
      </c>
      <c r="B41" s="1">
        <v>45356</v>
      </c>
      <c r="C41" s="1">
        <v>45366</v>
      </c>
      <c r="D41" s="6">
        <f t="shared" si="0"/>
        <v>10</v>
      </c>
      <c r="E41" t="s">
        <v>12</v>
      </c>
      <c r="F41" t="s">
        <v>31</v>
      </c>
      <c r="G41" t="s">
        <v>14</v>
      </c>
      <c r="H41" t="s">
        <v>40</v>
      </c>
      <c r="I41">
        <v>2</v>
      </c>
      <c r="J41" s="2">
        <v>1098.01</v>
      </c>
      <c r="K41" s="2">
        <v>927.73</v>
      </c>
      <c r="L41" s="2">
        <f t="shared" si="1"/>
        <v>170.27999999999997</v>
      </c>
      <c r="M41" t="s">
        <v>29</v>
      </c>
    </row>
    <row r="42" spans="1:13" x14ac:dyDescent="0.3">
      <c r="A42" t="s">
        <v>69</v>
      </c>
      <c r="B42" s="1">
        <v>45535</v>
      </c>
      <c r="C42" s="1">
        <v>45540</v>
      </c>
      <c r="D42" s="6">
        <f t="shared" si="0"/>
        <v>5</v>
      </c>
      <c r="E42" t="s">
        <v>42</v>
      </c>
      <c r="F42" t="s">
        <v>31</v>
      </c>
      <c r="G42" t="s">
        <v>14</v>
      </c>
      <c r="H42" t="s">
        <v>40</v>
      </c>
      <c r="I42">
        <v>10</v>
      </c>
      <c r="J42" s="2">
        <v>976.79</v>
      </c>
      <c r="K42" s="2">
        <v>677.18</v>
      </c>
      <c r="L42" s="2">
        <f t="shared" si="1"/>
        <v>299.61</v>
      </c>
      <c r="M42" t="s">
        <v>16</v>
      </c>
    </row>
    <row r="43" spans="1:13" x14ac:dyDescent="0.3">
      <c r="A43" t="s">
        <v>70</v>
      </c>
      <c r="B43" s="1">
        <v>45595</v>
      </c>
      <c r="C43" s="1">
        <v>45598</v>
      </c>
      <c r="D43" s="6">
        <f t="shared" si="0"/>
        <v>3</v>
      </c>
      <c r="E43" t="s">
        <v>12</v>
      </c>
      <c r="F43" t="s">
        <v>31</v>
      </c>
      <c r="G43" t="s">
        <v>19</v>
      </c>
      <c r="H43" t="s">
        <v>40</v>
      </c>
      <c r="I43">
        <v>3</v>
      </c>
      <c r="J43" s="2">
        <v>1248.68</v>
      </c>
      <c r="K43" s="2">
        <v>769.8</v>
      </c>
      <c r="L43" s="2">
        <f t="shared" si="1"/>
        <v>478.88000000000011</v>
      </c>
      <c r="M43" t="s">
        <v>29</v>
      </c>
    </row>
    <row r="44" spans="1:13" x14ac:dyDescent="0.3">
      <c r="A44" t="s">
        <v>71</v>
      </c>
      <c r="B44" s="1">
        <v>45642</v>
      </c>
      <c r="C44" s="1">
        <v>45652</v>
      </c>
      <c r="D44" s="6">
        <f t="shared" si="0"/>
        <v>10</v>
      </c>
      <c r="E44" t="s">
        <v>23</v>
      </c>
      <c r="F44" t="s">
        <v>31</v>
      </c>
      <c r="G44" t="s">
        <v>14</v>
      </c>
      <c r="H44" t="s">
        <v>25</v>
      </c>
      <c r="I44">
        <v>2</v>
      </c>
      <c r="J44" s="2">
        <v>1043.45</v>
      </c>
      <c r="K44" s="2">
        <v>666.51</v>
      </c>
      <c r="L44" s="2">
        <f t="shared" si="1"/>
        <v>376.94000000000005</v>
      </c>
      <c r="M44" t="s">
        <v>21</v>
      </c>
    </row>
    <row r="45" spans="1:13" x14ac:dyDescent="0.3">
      <c r="A45" t="s">
        <v>72</v>
      </c>
      <c r="B45" s="1">
        <v>45582</v>
      </c>
      <c r="C45" s="1">
        <v>45589</v>
      </c>
      <c r="D45" s="6">
        <f t="shared" si="0"/>
        <v>7</v>
      </c>
      <c r="E45" t="s">
        <v>18</v>
      </c>
      <c r="F45" t="s">
        <v>33</v>
      </c>
      <c r="G45" t="s">
        <v>14</v>
      </c>
      <c r="H45" t="s">
        <v>20</v>
      </c>
      <c r="I45">
        <v>9</v>
      </c>
      <c r="J45" s="2">
        <v>132.47</v>
      </c>
      <c r="K45" s="2">
        <v>100.65</v>
      </c>
      <c r="L45" s="2">
        <f t="shared" si="1"/>
        <v>31.819999999999993</v>
      </c>
      <c r="M45" t="s">
        <v>21</v>
      </c>
    </row>
    <row r="46" spans="1:13" x14ac:dyDescent="0.3">
      <c r="A46" t="s">
        <v>73</v>
      </c>
      <c r="B46" s="1">
        <v>45395</v>
      </c>
      <c r="C46" s="1">
        <v>45402</v>
      </c>
      <c r="D46" s="6">
        <f t="shared" si="0"/>
        <v>7</v>
      </c>
      <c r="E46" t="s">
        <v>42</v>
      </c>
      <c r="F46" t="s">
        <v>31</v>
      </c>
      <c r="G46" t="s">
        <v>14</v>
      </c>
      <c r="H46" t="s">
        <v>20</v>
      </c>
      <c r="I46">
        <v>9</v>
      </c>
      <c r="J46" s="2">
        <v>1446.05</v>
      </c>
      <c r="K46" s="2">
        <v>891.52</v>
      </c>
      <c r="L46" s="2">
        <f t="shared" si="1"/>
        <v>554.53</v>
      </c>
      <c r="M46" t="s">
        <v>21</v>
      </c>
    </row>
    <row r="47" spans="1:13" x14ac:dyDescent="0.3">
      <c r="A47" t="s">
        <v>74</v>
      </c>
      <c r="B47" s="1">
        <v>45412</v>
      </c>
      <c r="C47" s="1">
        <v>45422</v>
      </c>
      <c r="D47" s="6">
        <f t="shared" si="0"/>
        <v>10</v>
      </c>
      <c r="E47" t="s">
        <v>42</v>
      </c>
      <c r="F47" t="s">
        <v>13</v>
      </c>
      <c r="G47" t="s">
        <v>19</v>
      </c>
      <c r="H47" t="s">
        <v>25</v>
      </c>
      <c r="I47">
        <v>1</v>
      </c>
      <c r="J47" s="2">
        <v>1724.56</v>
      </c>
      <c r="K47" s="2">
        <v>1216.56</v>
      </c>
      <c r="L47" s="2">
        <f t="shared" si="1"/>
        <v>508</v>
      </c>
      <c r="M47" t="s">
        <v>21</v>
      </c>
    </row>
    <row r="48" spans="1:13" x14ac:dyDescent="0.3">
      <c r="A48" t="s">
        <v>75</v>
      </c>
      <c r="B48" s="1">
        <v>45580</v>
      </c>
      <c r="C48" s="1">
        <v>45588</v>
      </c>
      <c r="D48" s="6">
        <f t="shared" si="0"/>
        <v>8</v>
      </c>
      <c r="E48" t="s">
        <v>12</v>
      </c>
      <c r="F48" t="s">
        <v>24</v>
      </c>
      <c r="G48" t="s">
        <v>19</v>
      </c>
      <c r="H48" t="s">
        <v>40</v>
      </c>
      <c r="I48">
        <v>7</v>
      </c>
      <c r="J48" s="2">
        <v>188.31</v>
      </c>
      <c r="K48" s="2">
        <v>138.88999999999999</v>
      </c>
      <c r="L48" s="2">
        <f t="shared" si="1"/>
        <v>49.420000000000016</v>
      </c>
      <c r="M48" t="s">
        <v>16</v>
      </c>
    </row>
    <row r="49" spans="1:13" x14ac:dyDescent="0.3">
      <c r="A49" t="s">
        <v>76</v>
      </c>
      <c r="B49" s="1">
        <v>45401</v>
      </c>
      <c r="C49" s="1">
        <v>45405</v>
      </c>
      <c r="D49" s="6">
        <f t="shared" si="0"/>
        <v>4</v>
      </c>
      <c r="E49" t="s">
        <v>23</v>
      </c>
      <c r="F49" t="s">
        <v>24</v>
      </c>
      <c r="G49" t="s">
        <v>19</v>
      </c>
      <c r="H49" t="s">
        <v>25</v>
      </c>
      <c r="I49">
        <v>8</v>
      </c>
      <c r="J49" s="2">
        <v>889.51</v>
      </c>
      <c r="K49" s="2">
        <v>682.16</v>
      </c>
      <c r="L49" s="2">
        <f t="shared" si="1"/>
        <v>207.35000000000002</v>
      </c>
      <c r="M49" t="s">
        <v>16</v>
      </c>
    </row>
    <row r="50" spans="1:13" x14ac:dyDescent="0.3">
      <c r="A50" t="s">
        <v>77</v>
      </c>
      <c r="B50" s="1">
        <v>45513</v>
      </c>
      <c r="C50" s="1">
        <v>45516</v>
      </c>
      <c r="D50" s="6">
        <f t="shared" si="0"/>
        <v>3</v>
      </c>
      <c r="E50" t="s">
        <v>42</v>
      </c>
      <c r="F50" t="s">
        <v>13</v>
      </c>
      <c r="G50" t="s">
        <v>19</v>
      </c>
      <c r="H50" t="s">
        <v>20</v>
      </c>
      <c r="I50">
        <v>6</v>
      </c>
      <c r="J50" s="2">
        <v>1479.76</v>
      </c>
      <c r="K50" s="2">
        <v>1247.54</v>
      </c>
      <c r="L50" s="2">
        <f t="shared" si="1"/>
        <v>232.22000000000003</v>
      </c>
      <c r="M50" t="s">
        <v>21</v>
      </c>
    </row>
    <row r="51" spans="1:13" x14ac:dyDescent="0.3">
      <c r="A51" t="s">
        <v>78</v>
      </c>
      <c r="B51" s="1">
        <v>45452</v>
      </c>
      <c r="C51" s="1">
        <v>45456</v>
      </c>
      <c r="D51" s="6">
        <f t="shared" si="0"/>
        <v>4</v>
      </c>
      <c r="E51" t="s">
        <v>42</v>
      </c>
      <c r="F51" t="s">
        <v>33</v>
      </c>
      <c r="G51" t="s">
        <v>14</v>
      </c>
      <c r="H51" t="s">
        <v>40</v>
      </c>
      <c r="I51">
        <v>3</v>
      </c>
      <c r="J51" s="2">
        <v>661.38</v>
      </c>
      <c r="K51" s="2">
        <v>557.55999999999995</v>
      </c>
      <c r="L51" s="2">
        <f t="shared" si="1"/>
        <v>103.82000000000005</v>
      </c>
      <c r="M51" t="s">
        <v>21</v>
      </c>
    </row>
    <row r="52" spans="1:13" x14ac:dyDescent="0.3">
      <c r="A52" t="s">
        <v>79</v>
      </c>
      <c r="B52" s="1">
        <v>45586</v>
      </c>
      <c r="C52" s="1">
        <v>45592</v>
      </c>
      <c r="D52" s="6">
        <f t="shared" si="0"/>
        <v>6</v>
      </c>
      <c r="E52" t="s">
        <v>18</v>
      </c>
      <c r="F52" t="s">
        <v>13</v>
      </c>
      <c r="G52" t="s">
        <v>19</v>
      </c>
      <c r="H52" t="s">
        <v>40</v>
      </c>
      <c r="I52">
        <v>7</v>
      </c>
      <c r="J52" s="2">
        <v>1784.81</v>
      </c>
      <c r="K52" s="2">
        <v>1472.59</v>
      </c>
      <c r="L52" s="2">
        <f t="shared" si="1"/>
        <v>312.22000000000003</v>
      </c>
      <c r="M52" t="s">
        <v>29</v>
      </c>
    </row>
    <row r="53" spans="1:13" x14ac:dyDescent="0.3">
      <c r="A53" t="s">
        <v>80</v>
      </c>
      <c r="B53" s="1">
        <v>45537</v>
      </c>
      <c r="C53" s="1">
        <v>45540</v>
      </c>
      <c r="D53" s="6">
        <f t="shared" si="0"/>
        <v>3</v>
      </c>
      <c r="E53" t="s">
        <v>18</v>
      </c>
      <c r="F53" t="s">
        <v>24</v>
      </c>
      <c r="G53" t="s">
        <v>14</v>
      </c>
      <c r="H53" t="s">
        <v>20</v>
      </c>
      <c r="I53">
        <v>2</v>
      </c>
      <c r="J53" s="2">
        <v>1278.18</v>
      </c>
      <c r="K53" s="2">
        <v>927.73</v>
      </c>
      <c r="L53" s="2">
        <f t="shared" si="1"/>
        <v>350.45000000000005</v>
      </c>
      <c r="M53" t="s">
        <v>21</v>
      </c>
    </row>
    <row r="54" spans="1:13" x14ac:dyDescent="0.3">
      <c r="A54" t="s">
        <v>81</v>
      </c>
      <c r="B54" s="1">
        <v>45629</v>
      </c>
      <c r="C54" s="1">
        <v>45634</v>
      </c>
      <c r="D54" s="6">
        <f t="shared" si="0"/>
        <v>5</v>
      </c>
      <c r="E54" t="s">
        <v>23</v>
      </c>
      <c r="F54" t="s">
        <v>27</v>
      </c>
      <c r="G54" t="s">
        <v>14</v>
      </c>
      <c r="H54" t="s">
        <v>15</v>
      </c>
      <c r="I54">
        <v>10</v>
      </c>
      <c r="J54" s="2">
        <v>459.14</v>
      </c>
      <c r="K54" s="2">
        <v>341.04</v>
      </c>
      <c r="L54" s="2">
        <f t="shared" si="1"/>
        <v>118.09999999999997</v>
      </c>
      <c r="M54" t="s">
        <v>21</v>
      </c>
    </row>
    <row r="55" spans="1:13" x14ac:dyDescent="0.3">
      <c r="A55" t="s">
        <v>82</v>
      </c>
      <c r="B55" s="1">
        <v>45416</v>
      </c>
      <c r="C55" s="1">
        <v>45421</v>
      </c>
      <c r="D55" s="6">
        <f t="shared" si="0"/>
        <v>5</v>
      </c>
      <c r="E55" t="s">
        <v>12</v>
      </c>
      <c r="F55" t="s">
        <v>31</v>
      </c>
      <c r="G55" t="s">
        <v>19</v>
      </c>
      <c r="H55" t="s">
        <v>25</v>
      </c>
      <c r="I55">
        <v>2</v>
      </c>
      <c r="J55" s="2">
        <v>878.85</v>
      </c>
      <c r="K55" s="2">
        <v>599.23</v>
      </c>
      <c r="L55" s="2">
        <f t="shared" si="1"/>
        <v>279.62</v>
      </c>
      <c r="M55" t="s">
        <v>29</v>
      </c>
    </row>
    <row r="56" spans="1:13" x14ac:dyDescent="0.3">
      <c r="A56" t="s">
        <v>83</v>
      </c>
      <c r="B56" s="1">
        <v>45644</v>
      </c>
      <c r="C56" s="1">
        <v>45652</v>
      </c>
      <c r="D56" s="6">
        <f t="shared" si="0"/>
        <v>8</v>
      </c>
      <c r="E56" t="s">
        <v>23</v>
      </c>
      <c r="F56" t="s">
        <v>27</v>
      </c>
      <c r="G56" t="s">
        <v>19</v>
      </c>
      <c r="H56" t="s">
        <v>25</v>
      </c>
      <c r="I56">
        <v>10</v>
      </c>
      <c r="J56" s="2">
        <v>268.82</v>
      </c>
      <c r="K56" s="2">
        <v>200.98</v>
      </c>
      <c r="L56" s="2">
        <f t="shared" si="1"/>
        <v>67.84</v>
      </c>
      <c r="M56" t="s">
        <v>16</v>
      </c>
    </row>
    <row r="57" spans="1:13" x14ac:dyDescent="0.3">
      <c r="A57" t="s">
        <v>84</v>
      </c>
      <c r="B57" s="1">
        <v>45513</v>
      </c>
      <c r="C57" s="1">
        <v>45520</v>
      </c>
      <c r="D57" s="6">
        <f t="shared" si="0"/>
        <v>7</v>
      </c>
      <c r="E57" t="s">
        <v>42</v>
      </c>
      <c r="F57" t="s">
        <v>33</v>
      </c>
      <c r="G57" t="s">
        <v>14</v>
      </c>
      <c r="H57" t="s">
        <v>25</v>
      </c>
      <c r="I57">
        <v>10</v>
      </c>
      <c r="J57" s="2">
        <v>1173.3800000000001</v>
      </c>
      <c r="K57" s="2">
        <v>788.39</v>
      </c>
      <c r="L57" s="2">
        <f t="shared" si="1"/>
        <v>384.99000000000012</v>
      </c>
      <c r="M57" t="s">
        <v>29</v>
      </c>
    </row>
    <row r="58" spans="1:13" x14ac:dyDescent="0.3">
      <c r="A58" t="s">
        <v>85</v>
      </c>
      <c r="B58" s="1">
        <v>45621</v>
      </c>
      <c r="C58" s="1">
        <v>45623</v>
      </c>
      <c r="D58" s="6">
        <f t="shared" si="0"/>
        <v>2</v>
      </c>
      <c r="E58" t="s">
        <v>23</v>
      </c>
      <c r="F58" t="s">
        <v>24</v>
      </c>
      <c r="G58" t="s">
        <v>14</v>
      </c>
      <c r="H58" t="s">
        <v>40</v>
      </c>
      <c r="I58">
        <v>8</v>
      </c>
      <c r="J58" s="2">
        <v>1139.3699999999999</v>
      </c>
      <c r="K58" s="2">
        <v>777.39</v>
      </c>
      <c r="L58" s="2">
        <f t="shared" si="1"/>
        <v>361.9799999999999</v>
      </c>
      <c r="M58" t="s">
        <v>16</v>
      </c>
    </row>
    <row r="59" spans="1:13" x14ac:dyDescent="0.3">
      <c r="A59" t="s">
        <v>86</v>
      </c>
      <c r="B59" s="1">
        <v>45474</v>
      </c>
      <c r="C59" s="1">
        <v>45483</v>
      </c>
      <c r="D59" s="6">
        <f t="shared" si="0"/>
        <v>9</v>
      </c>
      <c r="E59" t="s">
        <v>18</v>
      </c>
      <c r="F59" t="s">
        <v>24</v>
      </c>
      <c r="G59" t="s">
        <v>14</v>
      </c>
      <c r="H59" t="s">
        <v>20</v>
      </c>
      <c r="I59">
        <v>4</v>
      </c>
      <c r="J59" s="2">
        <v>1682.59</v>
      </c>
      <c r="K59" s="2">
        <v>1272.31</v>
      </c>
      <c r="L59" s="2">
        <f t="shared" si="1"/>
        <v>410.28</v>
      </c>
      <c r="M59" t="s">
        <v>16</v>
      </c>
    </row>
    <row r="60" spans="1:13" x14ac:dyDescent="0.3">
      <c r="A60" t="s">
        <v>87</v>
      </c>
      <c r="B60" s="1">
        <v>45491</v>
      </c>
      <c r="C60" s="1">
        <v>45499</v>
      </c>
      <c r="D60" s="6">
        <f t="shared" si="0"/>
        <v>8</v>
      </c>
      <c r="E60" t="s">
        <v>23</v>
      </c>
      <c r="F60" t="s">
        <v>33</v>
      </c>
      <c r="G60" t="s">
        <v>19</v>
      </c>
      <c r="H60" t="s">
        <v>40</v>
      </c>
      <c r="I60">
        <v>6</v>
      </c>
      <c r="J60" s="2">
        <v>239.6</v>
      </c>
      <c r="K60" s="2">
        <v>202.41</v>
      </c>
      <c r="L60" s="2">
        <f t="shared" si="1"/>
        <v>37.19</v>
      </c>
      <c r="M60" t="s">
        <v>21</v>
      </c>
    </row>
    <row r="61" spans="1:13" x14ac:dyDescent="0.3">
      <c r="A61" t="s">
        <v>88</v>
      </c>
      <c r="B61" s="1">
        <v>45445</v>
      </c>
      <c r="C61" s="1">
        <v>45452</v>
      </c>
      <c r="D61" s="6">
        <f t="shared" si="0"/>
        <v>7</v>
      </c>
      <c r="E61" t="s">
        <v>23</v>
      </c>
      <c r="F61" t="s">
        <v>33</v>
      </c>
      <c r="G61" t="s">
        <v>19</v>
      </c>
      <c r="H61" t="s">
        <v>20</v>
      </c>
      <c r="I61">
        <v>3</v>
      </c>
      <c r="J61" s="2">
        <v>683.45</v>
      </c>
      <c r="K61" s="2">
        <v>488.63</v>
      </c>
      <c r="L61" s="2">
        <f t="shared" si="1"/>
        <v>194.82000000000005</v>
      </c>
      <c r="M61" t="s">
        <v>16</v>
      </c>
    </row>
    <row r="62" spans="1:13" x14ac:dyDescent="0.3">
      <c r="A62" t="s">
        <v>89</v>
      </c>
      <c r="B62" s="1">
        <v>45621</v>
      </c>
      <c r="C62" s="1">
        <v>45631</v>
      </c>
      <c r="D62" s="6">
        <f t="shared" si="0"/>
        <v>10</v>
      </c>
      <c r="E62" t="s">
        <v>12</v>
      </c>
      <c r="F62" t="s">
        <v>13</v>
      </c>
      <c r="G62" t="s">
        <v>19</v>
      </c>
      <c r="H62" t="s">
        <v>15</v>
      </c>
      <c r="I62">
        <v>2</v>
      </c>
      <c r="J62" s="2">
        <v>1912.85</v>
      </c>
      <c r="K62" s="2">
        <v>1379.33</v>
      </c>
      <c r="L62" s="2">
        <f t="shared" si="1"/>
        <v>533.52</v>
      </c>
      <c r="M62" t="s">
        <v>29</v>
      </c>
    </row>
    <row r="63" spans="1:13" x14ac:dyDescent="0.3">
      <c r="A63" t="s">
        <v>90</v>
      </c>
      <c r="B63" s="1">
        <v>45486</v>
      </c>
      <c r="C63" s="1">
        <v>45492</v>
      </c>
      <c r="D63" s="6">
        <f t="shared" si="0"/>
        <v>6</v>
      </c>
      <c r="E63" t="s">
        <v>42</v>
      </c>
      <c r="F63" t="s">
        <v>24</v>
      </c>
      <c r="G63" t="s">
        <v>14</v>
      </c>
      <c r="H63" t="s">
        <v>15</v>
      </c>
      <c r="I63">
        <v>6</v>
      </c>
      <c r="J63" s="2">
        <v>1633.35</v>
      </c>
      <c r="K63" s="2">
        <v>1124.71</v>
      </c>
      <c r="L63" s="2">
        <f t="shared" si="1"/>
        <v>508.63999999999987</v>
      </c>
      <c r="M63" t="s">
        <v>16</v>
      </c>
    </row>
    <row r="64" spans="1:13" x14ac:dyDescent="0.3">
      <c r="A64" t="s">
        <v>91</v>
      </c>
      <c r="B64" s="1">
        <v>45423</v>
      </c>
      <c r="C64" s="1">
        <v>45430</v>
      </c>
      <c r="D64" s="6">
        <f t="shared" si="0"/>
        <v>7</v>
      </c>
      <c r="E64" t="s">
        <v>18</v>
      </c>
      <c r="F64" t="s">
        <v>13</v>
      </c>
      <c r="G64" t="s">
        <v>14</v>
      </c>
      <c r="H64" t="s">
        <v>15</v>
      </c>
      <c r="I64">
        <v>1</v>
      </c>
      <c r="J64" s="2">
        <v>425.14</v>
      </c>
      <c r="K64" s="2">
        <v>304.56</v>
      </c>
      <c r="L64" s="2">
        <f t="shared" si="1"/>
        <v>120.57999999999998</v>
      </c>
      <c r="M64" t="s">
        <v>16</v>
      </c>
    </row>
    <row r="65" spans="1:13" x14ac:dyDescent="0.3">
      <c r="A65" t="s">
        <v>92</v>
      </c>
      <c r="B65" s="1">
        <v>45545</v>
      </c>
      <c r="C65" s="1">
        <v>45554</v>
      </c>
      <c r="D65" s="6">
        <f t="shared" si="0"/>
        <v>9</v>
      </c>
      <c r="E65" t="s">
        <v>42</v>
      </c>
      <c r="F65" t="s">
        <v>33</v>
      </c>
      <c r="G65" t="s">
        <v>19</v>
      </c>
      <c r="H65" t="s">
        <v>15</v>
      </c>
      <c r="I65">
        <v>5</v>
      </c>
      <c r="J65" s="2">
        <v>581.63</v>
      </c>
      <c r="K65" s="2">
        <v>474.34</v>
      </c>
      <c r="L65" s="2">
        <f t="shared" si="1"/>
        <v>107.29000000000002</v>
      </c>
      <c r="M65" t="s">
        <v>29</v>
      </c>
    </row>
    <row r="66" spans="1:13" x14ac:dyDescent="0.3">
      <c r="A66" t="s">
        <v>93</v>
      </c>
      <c r="B66" s="1">
        <v>45500</v>
      </c>
      <c r="C66" s="1">
        <v>45508</v>
      </c>
      <c r="D66" s="6">
        <f t="shared" si="0"/>
        <v>8</v>
      </c>
      <c r="E66" t="s">
        <v>42</v>
      </c>
      <c r="F66" t="s">
        <v>24</v>
      </c>
      <c r="G66" t="s">
        <v>14</v>
      </c>
      <c r="H66" t="s">
        <v>40</v>
      </c>
      <c r="I66">
        <v>3</v>
      </c>
      <c r="J66" s="2">
        <v>439.35</v>
      </c>
      <c r="K66" s="2">
        <v>280.83</v>
      </c>
      <c r="L66" s="2">
        <f t="shared" si="1"/>
        <v>158.52000000000004</v>
      </c>
      <c r="M66" t="s">
        <v>16</v>
      </c>
    </row>
    <row r="67" spans="1:13" x14ac:dyDescent="0.3">
      <c r="A67" t="s">
        <v>94</v>
      </c>
      <c r="B67" s="1">
        <v>45501</v>
      </c>
      <c r="C67" s="1">
        <v>45509</v>
      </c>
      <c r="D67" s="6">
        <f t="shared" ref="D67:D130" si="2">C67-B67</f>
        <v>8</v>
      </c>
      <c r="E67" t="s">
        <v>12</v>
      </c>
      <c r="F67" t="s">
        <v>13</v>
      </c>
      <c r="G67" t="s">
        <v>14</v>
      </c>
      <c r="H67" t="s">
        <v>40</v>
      </c>
      <c r="I67">
        <v>8</v>
      </c>
      <c r="J67" s="2">
        <v>1584.5</v>
      </c>
      <c r="K67" s="2">
        <v>1114.31</v>
      </c>
      <c r="L67" s="2">
        <f t="shared" ref="L67:L130" si="3">J67-K67</f>
        <v>470.19000000000005</v>
      </c>
      <c r="M67" t="s">
        <v>16</v>
      </c>
    </row>
    <row r="68" spans="1:13" x14ac:dyDescent="0.3">
      <c r="A68" t="s">
        <v>95</v>
      </c>
      <c r="B68" s="1">
        <v>45590</v>
      </c>
      <c r="C68" s="1">
        <v>45597</v>
      </c>
      <c r="D68" s="6">
        <f t="shared" si="2"/>
        <v>7</v>
      </c>
      <c r="E68" t="s">
        <v>18</v>
      </c>
      <c r="F68" t="s">
        <v>33</v>
      </c>
      <c r="G68" t="s">
        <v>19</v>
      </c>
      <c r="H68" t="s">
        <v>20</v>
      </c>
      <c r="I68">
        <v>9</v>
      </c>
      <c r="J68" s="2">
        <v>1047</v>
      </c>
      <c r="K68" s="2">
        <v>732.23</v>
      </c>
      <c r="L68" s="2">
        <f t="shared" si="3"/>
        <v>314.77</v>
      </c>
      <c r="M68" t="s">
        <v>29</v>
      </c>
    </row>
    <row r="69" spans="1:13" x14ac:dyDescent="0.3">
      <c r="A69" t="s">
        <v>96</v>
      </c>
      <c r="B69" s="1">
        <v>45648</v>
      </c>
      <c r="C69" s="1">
        <v>45650</v>
      </c>
      <c r="D69" s="6">
        <f t="shared" si="2"/>
        <v>2</v>
      </c>
      <c r="E69" t="s">
        <v>23</v>
      </c>
      <c r="F69" t="s">
        <v>13</v>
      </c>
      <c r="G69" t="s">
        <v>19</v>
      </c>
      <c r="H69" t="s">
        <v>40</v>
      </c>
      <c r="I69">
        <v>3</v>
      </c>
      <c r="J69" s="2">
        <v>1869.22</v>
      </c>
      <c r="K69" s="2">
        <v>1300.04</v>
      </c>
      <c r="L69" s="2">
        <f t="shared" si="3"/>
        <v>569.18000000000006</v>
      </c>
      <c r="M69" t="s">
        <v>29</v>
      </c>
    </row>
    <row r="70" spans="1:13" x14ac:dyDescent="0.3">
      <c r="A70" t="s">
        <v>97</v>
      </c>
      <c r="B70" s="1">
        <v>45483</v>
      </c>
      <c r="C70" s="1">
        <v>45489</v>
      </c>
      <c r="D70" s="6">
        <f t="shared" si="2"/>
        <v>6</v>
      </c>
      <c r="E70" t="s">
        <v>42</v>
      </c>
      <c r="F70" t="s">
        <v>13</v>
      </c>
      <c r="G70" t="s">
        <v>19</v>
      </c>
      <c r="H70" t="s">
        <v>20</v>
      </c>
      <c r="I70">
        <v>8</v>
      </c>
      <c r="J70" s="2">
        <v>1786.27</v>
      </c>
      <c r="K70" s="2">
        <v>1269.44</v>
      </c>
      <c r="L70" s="2">
        <f t="shared" si="3"/>
        <v>516.82999999999993</v>
      </c>
      <c r="M70" t="s">
        <v>29</v>
      </c>
    </row>
    <row r="71" spans="1:13" x14ac:dyDescent="0.3">
      <c r="A71" t="s">
        <v>98</v>
      </c>
      <c r="B71" s="1">
        <v>45545</v>
      </c>
      <c r="C71" s="1">
        <v>45548</v>
      </c>
      <c r="D71" s="6">
        <f t="shared" si="2"/>
        <v>3</v>
      </c>
      <c r="E71" t="s">
        <v>12</v>
      </c>
      <c r="F71" t="s">
        <v>27</v>
      </c>
      <c r="G71" t="s">
        <v>14</v>
      </c>
      <c r="H71" t="s">
        <v>40</v>
      </c>
      <c r="I71">
        <v>7</v>
      </c>
      <c r="J71" s="2">
        <v>451.5</v>
      </c>
      <c r="K71" s="2">
        <v>300.62</v>
      </c>
      <c r="L71" s="2">
        <f t="shared" si="3"/>
        <v>150.88</v>
      </c>
      <c r="M71" t="s">
        <v>16</v>
      </c>
    </row>
    <row r="72" spans="1:13" x14ac:dyDescent="0.3">
      <c r="A72" t="s">
        <v>99</v>
      </c>
      <c r="B72" s="1">
        <v>45520</v>
      </c>
      <c r="C72" s="1">
        <v>45528</v>
      </c>
      <c r="D72" s="6">
        <f t="shared" si="2"/>
        <v>8</v>
      </c>
      <c r="E72" t="s">
        <v>12</v>
      </c>
      <c r="F72" t="s">
        <v>24</v>
      </c>
      <c r="G72" t="s">
        <v>19</v>
      </c>
      <c r="H72" t="s">
        <v>20</v>
      </c>
      <c r="I72">
        <v>8</v>
      </c>
      <c r="J72" s="2">
        <v>247.09</v>
      </c>
      <c r="K72" s="2">
        <v>171.18</v>
      </c>
      <c r="L72" s="2">
        <f t="shared" si="3"/>
        <v>75.91</v>
      </c>
      <c r="M72" t="s">
        <v>21</v>
      </c>
    </row>
    <row r="73" spans="1:13" x14ac:dyDescent="0.3">
      <c r="A73" t="s">
        <v>100</v>
      </c>
      <c r="B73" s="1">
        <v>45538</v>
      </c>
      <c r="C73" s="1">
        <v>45546</v>
      </c>
      <c r="D73" s="6">
        <f t="shared" si="2"/>
        <v>8</v>
      </c>
      <c r="E73" t="s">
        <v>12</v>
      </c>
      <c r="F73" t="s">
        <v>31</v>
      </c>
      <c r="G73" t="s">
        <v>14</v>
      </c>
      <c r="H73" t="s">
        <v>40</v>
      </c>
      <c r="I73">
        <v>1</v>
      </c>
      <c r="J73" s="2">
        <v>330.6</v>
      </c>
      <c r="K73" s="2">
        <v>233.73</v>
      </c>
      <c r="L73" s="2">
        <f t="shared" si="3"/>
        <v>96.870000000000033</v>
      </c>
      <c r="M73" t="s">
        <v>16</v>
      </c>
    </row>
    <row r="74" spans="1:13" x14ac:dyDescent="0.3">
      <c r="A74" t="s">
        <v>101</v>
      </c>
      <c r="B74" s="1">
        <v>45456</v>
      </c>
      <c r="C74" s="1">
        <v>45466</v>
      </c>
      <c r="D74" s="6">
        <f t="shared" si="2"/>
        <v>10</v>
      </c>
      <c r="E74" t="s">
        <v>18</v>
      </c>
      <c r="F74" t="s">
        <v>27</v>
      </c>
      <c r="G74" t="s">
        <v>14</v>
      </c>
      <c r="H74" t="s">
        <v>25</v>
      </c>
      <c r="I74">
        <v>7</v>
      </c>
      <c r="J74" s="2">
        <v>1071.6600000000001</v>
      </c>
      <c r="K74" s="2">
        <v>861.68</v>
      </c>
      <c r="L74" s="2">
        <f t="shared" si="3"/>
        <v>209.98000000000013</v>
      </c>
      <c r="M74" t="s">
        <v>16</v>
      </c>
    </row>
    <row r="75" spans="1:13" x14ac:dyDescent="0.3">
      <c r="A75" t="s">
        <v>102</v>
      </c>
      <c r="B75" s="1">
        <v>45373</v>
      </c>
      <c r="C75" s="1">
        <v>45383</v>
      </c>
      <c r="D75" s="6">
        <f t="shared" si="2"/>
        <v>10</v>
      </c>
      <c r="E75" t="s">
        <v>18</v>
      </c>
      <c r="F75" t="s">
        <v>13</v>
      </c>
      <c r="G75" t="s">
        <v>14</v>
      </c>
      <c r="H75" t="s">
        <v>25</v>
      </c>
      <c r="I75">
        <v>1</v>
      </c>
      <c r="J75" s="2">
        <v>1208.4100000000001</v>
      </c>
      <c r="K75" s="2">
        <v>1006.66</v>
      </c>
      <c r="L75" s="2">
        <f t="shared" si="3"/>
        <v>201.75000000000011</v>
      </c>
      <c r="M75" t="s">
        <v>29</v>
      </c>
    </row>
    <row r="76" spans="1:13" x14ac:dyDescent="0.3">
      <c r="A76" t="s">
        <v>103</v>
      </c>
      <c r="B76" s="1">
        <v>45462</v>
      </c>
      <c r="C76" s="1">
        <v>45468</v>
      </c>
      <c r="D76" s="6">
        <f t="shared" si="2"/>
        <v>6</v>
      </c>
      <c r="E76" t="s">
        <v>42</v>
      </c>
      <c r="F76" t="s">
        <v>13</v>
      </c>
      <c r="G76" t="s">
        <v>14</v>
      </c>
      <c r="H76" t="s">
        <v>15</v>
      </c>
      <c r="I76">
        <v>7</v>
      </c>
      <c r="J76" s="2">
        <v>1912.26</v>
      </c>
      <c r="K76" s="2">
        <v>1181.3800000000001</v>
      </c>
      <c r="L76" s="2">
        <f t="shared" si="3"/>
        <v>730.87999999999988</v>
      </c>
      <c r="M76" t="s">
        <v>29</v>
      </c>
    </row>
    <row r="77" spans="1:13" x14ac:dyDescent="0.3">
      <c r="A77" t="s">
        <v>104</v>
      </c>
      <c r="B77" s="1">
        <v>45526</v>
      </c>
      <c r="C77" s="1">
        <v>45533</v>
      </c>
      <c r="D77" s="6">
        <f t="shared" si="2"/>
        <v>7</v>
      </c>
      <c r="E77" t="s">
        <v>18</v>
      </c>
      <c r="F77" t="s">
        <v>31</v>
      </c>
      <c r="G77" t="s">
        <v>19</v>
      </c>
      <c r="H77" t="s">
        <v>40</v>
      </c>
      <c r="I77">
        <v>5</v>
      </c>
      <c r="J77" s="2">
        <v>1311.13</v>
      </c>
      <c r="K77" s="2">
        <v>915.43</v>
      </c>
      <c r="L77" s="2">
        <f t="shared" si="3"/>
        <v>395.70000000000016</v>
      </c>
      <c r="M77" t="s">
        <v>29</v>
      </c>
    </row>
    <row r="78" spans="1:13" x14ac:dyDescent="0.3">
      <c r="A78" t="s">
        <v>105</v>
      </c>
      <c r="B78" s="1">
        <v>45532</v>
      </c>
      <c r="C78" s="1">
        <v>45538</v>
      </c>
      <c r="D78" s="6">
        <f t="shared" si="2"/>
        <v>6</v>
      </c>
      <c r="E78" t="s">
        <v>18</v>
      </c>
      <c r="F78" t="s">
        <v>13</v>
      </c>
      <c r="G78" t="s">
        <v>19</v>
      </c>
      <c r="H78" t="s">
        <v>20</v>
      </c>
      <c r="I78">
        <v>6</v>
      </c>
      <c r="J78" s="2">
        <v>1119.27</v>
      </c>
      <c r="K78" s="2">
        <v>691.93</v>
      </c>
      <c r="L78" s="2">
        <f t="shared" si="3"/>
        <v>427.34000000000003</v>
      </c>
      <c r="M78" t="s">
        <v>29</v>
      </c>
    </row>
    <row r="79" spans="1:13" x14ac:dyDescent="0.3">
      <c r="A79" t="s">
        <v>106</v>
      </c>
      <c r="B79" s="1">
        <v>45587</v>
      </c>
      <c r="C79" s="1">
        <v>45597</v>
      </c>
      <c r="D79" s="6">
        <f t="shared" si="2"/>
        <v>10</v>
      </c>
      <c r="E79" t="s">
        <v>42</v>
      </c>
      <c r="F79" t="s">
        <v>13</v>
      </c>
      <c r="G79" t="s">
        <v>14</v>
      </c>
      <c r="H79" t="s">
        <v>40</v>
      </c>
      <c r="I79">
        <v>4</v>
      </c>
      <c r="J79" s="2">
        <v>1188.54</v>
      </c>
      <c r="K79" s="2">
        <v>816.24</v>
      </c>
      <c r="L79" s="2">
        <f t="shared" si="3"/>
        <v>372.29999999999995</v>
      </c>
      <c r="M79" t="s">
        <v>21</v>
      </c>
    </row>
    <row r="80" spans="1:13" x14ac:dyDescent="0.3">
      <c r="A80" t="s">
        <v>107</v>
      </c>
      <c r="B80" s="1">
        <v>45359</v>
      </c>
      <c r="C80" s="1">
        <v>45363</v>
      </c>
      <c r="D80" s="6">
        <f t="shared" si="2"/>
        <v>4</v>
      </c>
      <c r="E80" t="s">
        <v>18</v>
      </c>
      <c r="F80" t="s">
        <v>33</v>
      </c>
      <c r="G80" t="s">
        <v>14</v>
      </c>
      <c r="H80" t="s">
        <v>40</v>
      </c>
      <c r="I80">
        <v>9</v>
      </c>
      <c r="J80" s="2">
        <v>1782.17</v>
      </c>
      <c r="K80" s="2">
        <v>1360.79</v>
      </c>
      <c r="L80" s="2">
        <f t="shared" si="3"/>
        <v>421.38000000000011</v>
      </c>
      <c r="M80" t="s">
        <v>16</v>
      </c>
    </row>
    <row r="81" spans="1:13" x14ac:dyDescent="0.3">
      <c r="A81" t="s">
        <v>108</v>
      </c>
      <c r="B81" s="1">
        <v>45598</v>
      </c>
      <c r="C81" s="1">
        <v>45604</v>
      </c>
      <c r="D81" s="6">
        <f t="shared" si="2"/>
        <v>6</v>
      </c>
      <c r="E81" t="s">
        <v>18</v>
      </c>
      <c r="F81" t="s">
        <v>24</v>
      </c>
      <c r="G81" t="s">
        <v>19</v>
      </c>
      <c r="H81" t="s">
        <v>20</v>
      </c>
      <c r="I81">
        <v>3</v>
      </c>
      <c r="J81" s="2">
        <v>429.74</v>
      </c>
      <c r="K81" s="2">
        <v>322.92</v>
      </c>
      <c r="L81" s="2">
        <f t="shared" si="3"/>
        <v>106.82</v>
      </c>
      <c r="M81" t="s">
        <v>16</v>
      </c>
    </row>
    <row r="82" spans="1:13" x14ac:dyDescent="0.3">
      <c r="A82" t="s">
        <v>109</v>
      </c>
      <c r="B82" s="1">
        <v>45470</v>
      </c>
      <c r="C82" s="1">
        <v>45472</v>
      </c>
      <c r="D82" s="6">
        <f t="shared" si="2"/>
        <v>2</v>
      </c>
      <c r="E82" t="s">
        <v>23</v>
      </c>
      <c r="F82" t="s">
        <v>13</v>
      </c>
      <c r="G82" t="s">
        <v>14</v>
      </c>
      <c r="H82" t="s">
        <v>15</v>
      </c>
      <c r="I82">
        <v>6</v>
      </c>
      <c r="J82" s="2">
        <v>130.79</v>
      </c>
      <c r="K82" s="2">
        <v>85.44</v>
      </c>
      <c r="L82" s="2">
        <f t="shared" si="3"/>
        <v>45.349999999999994</v>
      </c>
      <c r="M82" t="s">
        <v>21</v>
      </c>
    </row>
    <row r="83" spans="1:13" x14ac:dyDescent="0.3">
      <c r="A83" t="s">
        <v>110</v>
      </c>
      <c r="B83" s="1">
        <v>45542</v>
      </c>
      <c r="C83" s="1">
        <v>45546</v>
      </c>
      <c r="D83" s="6">
        <f t="shared" si="2"/>
        <v>4</v>
      </c>
      <c r="E83" t="s">
        <v>18</v>
      </c>
      <c r="F83" t="s">
        <v>27</v>
      </c>
      <c r="G83" t="s">
        <v>19</v>
      </c>
      <c r="H83" t="s">
        <v>15</v>
      </c>
      <c r="I83">
        <v>1</v>
      </c>
      <c r="J83" s="2">
        <v>1970.07</v>
      </c>
      <c r="K83" s="2">
        <v>1296.68</v>
      </c>
      <c r="L83" s="2">
        <f t="shared" si="3"/>
        <v>673.38999999999987</v>
      </c>
      <c r="M83" t="s">
        <v>21</v>
      </c>
    </row>
    <row r="84" spans="1:13" x14ac:dyDescent="0.3">
      <c r="A84" t="s">
        <v>111</v>
      </c>
      <c r="B84" s="1">
        <v>45558</v>
      </c>
      <c r="C84" s="1">
        <v>45561</v>
      </c>
      <c r="D84" s="6">
        <f t="shared" si="2"/>
        <v>3</v>
      </c>
      <c r="E84" t="s">
        <v>42</v>
      </c>
      <c r="F84" t="s">
        <v>31</v>
      </c>
      <c r="G84" t="s">
        <v>19</v>
      </c>
      <c r="H84" t="s">
        <v>25</v>
      </c>
      <c r="I84">
        <v>1</v>
      </c>
      <c r="J84" s="2">
        <v>1870.33</v>
      </c>
      <c r="K84" s="2">
        <v>1493.84</v>
      </c>
      <c r="L84" s="2">
        <f t="shared" si="3"/>
        <v>376.49</v>
      </c>
      <c r="M84" t="s">
        <v>21</v>
      </c>
    </row>
    <row r="85" spans="1:13" x14ac:dyDescent="0.3">
      <c r="A85" t="s">
        <v>112</v>
      </c>
      <c r="B85" s="1">
        <v>45435</v>
      </c>
      <c r="C85" s="1">
        <v>45444</v>
      </c>
      <c r="D85" s="6">
        <f t="shared" si="2"/>
        <v>9</v>
      </c>
      <c r="E85" t="s">
        <v>12</v>
      </c>
      <c r="F85" t="s">
        <v>27</v>
      </c>
      <c r="G85" t="s">
        <v>14</v>
      </c>
      <c r="H85" t="s">
        <v>25</v>
      </c>
      <c r="I85">
        <v>9</v>
      </c>
      <c r="J85" s="2">
        <v>1682.17</v>
      </c>
      <c r="K85" s="2">
        <v>1290.5899999999999</v>
      </c>
      <c r="L85" s="2">
        <f t="shared" si="3"/>
        <v>391.58000000000015</v>
      </c>
      <c r="M85" t="s">
        <v>16</v>
      </c>
    </row>
    <row r="86" spans="1:13" x14ac:dyDescent="0.3">
      <c r="A86" t="s">
        <v>113</v>
      </c>
      <c r="B86" s="1">
        <v>45584</v>
      </c>
      <c r="C86" s="1">
        <v>45587</v>
      </c>
      <c r="D86" s="6">
        <f t="shared" si="2"/>
        <v>3</v>
      </c>
      <c r="E86" t="s">
        <v>18</v>
      </c>
      <c r="F86" t="s">
        <v>31</v>
      </c>
      <c r="G86" t="s">
        <v>14</v>
      </c>
      <c r="H86" t="s">
        <v>20</v>
      </c>
      <c r="I86">
        <v>6</v>
      </c>
      <c r="J86" s="2">
        <v>1563.23</v>
      </c>
      <c r="K86" s="2">
        <v>1242.02</v>
      </c>
      <c r="L86" s="2">
        <f t="shared" si="3"/>
        <v>321.21000000000004</v>
      </c>
      <c r="M86" t="s">
        <v>21</v>
      </c>
    </row>
    <row r="87" spans="1:13" x14ac:dyDescent="0.3">
      <c r="A87" t="s">
        <v>114</v>
      </c>
      <c r="B87" s="1">
        <v>45457</v>
      </c>
      <c r="C87" s="1">
        <v>45466</v>
      </c>
      <c r="D87" s="6">
        <f t="shared" si="2"/>
        <v>9</v>
      </c>
      <c r="E87" t="s">
        <v>42</v>
      </c>
      <c r="F87" t="s">
        <v>27</v>
      </c>
      <c r="G87" t="s">
        <v>14</v>
      </c>
      <c r="H87" t="s">
        <v>25</v>
      </c>
      <c r="I87">
        <v>10</v>
      </c>
      <c r="J87" s="2">
        <v>226.36</v>
      </c>
      <c r="K87" s="2">
        <v>165.53</v>
      </c>
      <c r="L87" s="2">
        <f t="shared" si="3"/>
        <v>60.830000000000013</v>
      </c>
      <c r="M87" t="s">
        <v>29</v>
      </c>
    </row>
    <row r="88" spans="1:13" x14ac:dyDescent="0.3">
      <c r="A88" t="s">
        <v>115</v>
      </c>
      <c r="B88" s="1">
        <v>45405</v>
      </c>
      <c r="C88" s="1">
        <v>45407</v>
      </c>
      <c r="D88" s="6">
        <f t="shared" si="2"/>
        <v>2</v>
      </c>
      <c r="E88" t="s">
        <v>23</v>
      </c>
      <c r="F88" t="s">
        <v>24</v>
      </c>
      <c r="G88" t="s">
        <v>19</v>
      </c>
      <c r="H88" t="s">
        <v>40</v>
      </c>
      <c r="I88">
        <v>2</v>
      </c>
      <c r="J88" s="2">
        <v>478.37</v>
      </c>
      <c r="K88" s="2">
        <v>319.39</v>
      </c>
      <c r="L88" s="2">
        <f t="shared" si="3"/>
        <v>158.98000000000002</v>
      </c>
      <c r="M88" t="s">
        <v>29</v>
      </c>
    </row>
    <row r="89" spans="1:13" x14ac:dyDescent="0.3">
      <c r="A89" t="s">
        <v>116</v>
      </c>
      <c r="B89" s="1">
        <v>45557</v>
      </c>
      <c r="C89" s="1">
        <v>45560</v>
      </c>
      <c r="D89" s="6">
        <f t="shared" si="2"/>
        <v>3</v>
      </c>
      <c r="E89" t="s">
        <v>23</v>
      </c>
      <c r="F89" t="s">
        <v>33</v>
      </c>
      <c r="G89" t="s">
        <v>19</v>
      </c>
      <c r="H89" t="s">
        <v>15</v>
      </c>
      <c r="I89">
        <v>10</v>
      </c>
      <c r="J89" s="2">
        <v>1565.94</v>
      </c>
      <c r="K89" s="2">
        <v>1330.64</v>
      </c>
      <c r="L89" s="2">
        <f t="shared" si="3"/>
        <v>235.29999999999995</v>
      </c>
      <c r="M89" t="s">
        <v>16</v>
      </c>
    </row>
    <row r="90" spans="1:13" x14ac:dyDescent="0.3">
      <c r="A90" t="s">
        <v>117</v>
      </c>
      <c r="B90" s="1">
        <v>45494</v>
      </c>
      <c r="C90" s="1">
        <v>45498</v>
      </c>
      <c r="D90" s="6">
        <f t="shared" si="2"/>
        <v>4</v>
      </c>
      <c r="E90" t="s">
        <v>12</v>
      </c>
      <c r="F90" t="s">
        <v>27</v>
      </c>
      <c r="G90" t="s">
        <v>19</v>
      </c>
      <c r="H90" t="s">
        <v>20</v>
      </c>
      <c r="I90">
        <v>3</v>
      </c>
      <c r="J90" s="2">
        <v>1706.84</v>
      </c>
      <c r="K90" s="2">
        <v>1065.77</v>
      </c>
      <c r="L90" s="2">
        <f t="shared" si="3"/>
        <v>641.06999999999994</v>
      </c>
      <c r="M90" t="s">
        <v>29</v>
      </c>
    </row>
    <row r="91" spans="1:13" x14ac:dyDescent="0.3">
      <c r="A91" t="s">
        <v>118</v>
      </c>
      <c r="B91" s="1">
        <v>45654</v>
      </c>
      <c r="C91" s="1">
        <v>45662</v>
      </c>
      <c r="D91" s="6">
        <f t="shared" si="2"/>
        <v>8</v>
      </c>
      <c r="E91" t="s">
        <v>18</v>
      </c>
      <c r="F91" t="s">
        <v>27</v>
      </c>
      <c r="G91" t="s">
        <v>19</v>
      </c>
      <c r="H91" t="s">
        <v>25</v>
      </c>
      <c r="I91">
        <v>6</v>
      </c>
      <c r="J91" s="2">
        <v>1310.6400000000001</v>
      </c>
      <c r="K91" s="2">
        <v>942.28</v>
      </c>
      <c r="L91" s="2">
        <f t="shared" si="3"/>
        <v>368.36000000000013</v>
      </c>
      <c r="M91" t="s">
        <v>16</v>
      </c>
    </row>
    <row r="92" spans="1:13" x14ac:dyDescent="0.3">
      <c r="A92" t="s">
        <v>119</v>
      </c>
      <c r="B92" s="1">
        <v>45644</v>
      </c>
      <c r="C92" s="1">
        <v>45646</v>
      </c>
      <c r="D92" s="6">
        <f t="shared" si="2"/>
        <v>2</v>
      </c>
      <c r="E92" t="s">
        <v>18</v>
      </c>
      <c r="F92" t="s">
        <v>24</v>
      </c>
      <c r="G92" t="s">
        <v>19</v>
      </c>
      <c r="H92" t="s">
        <v>15</v>
      </c>
      <c r="I92">
        <v>1</v>
      </c>
      <c r="J92" s="2">
        <v>192.05</v>
      </c>
      <c r="K92" s="2">
        <v>134.49</v>
      </c>
      <c r="L92" s="2">
        <f t="shared" si="3"/>
        <v>57.56</v>
      </c>
      <c r="M92" t="s">
        <v>16</v>
      </c>
    </row>
    <row r="93" spans="1:13" x14ac:dyDescent="0.3">
      <c r="A93" t="s">
        <v>120</v>
      </c>
      <c r="B93" s="1">
        <v>45647</v>
      </c>
      <c r="C93" s="1">
        <v>45651</v>
      </c>
      <c r="D93" s="6">
        <f t="shared" si="2"/>
        <v>4</v>
      </c>
      <c r="E93" t="s">
        <v>42</v>
      </c>
      <c r="F93" t="s">
        <v>27</v>
      </c>
      <c r="G93" t="s">
        <v>14</v>
      </c>
      <c r="H93" t="s">
        <v>20</v>
      </c>
      <c r="I93">
        <v>3</v>
      </c>
      <c r="J93" s="2">
        <v>1691.47</v>
      </c>
      <c r="K93" s="2">
        <v>1301.6600000000001</v>
      </c>
      <c r="L93" s="2">
        <f t="shared" si="3"/>
        <v>389.80999999999995</v>
      </c>
      <c r="M93" t="s">
        <v>29</v>
      </c>
    </row>
    <row r="94" spans="1:13" x14ac:dyDescent="0.3">
      <c r="A94" t="s">
        <v>121</v>
      </c>
      <c r="B94" s="1">
        <v>45473</v>
      </c>
      <c r="C94" s="1">
        <v>45479</v>
      </c>
      <c r="D94" s="6">
        <f t="shared" si="2"/>
        <v>6</v>
      </c>
      <c r="E94" t="s">
        <v>18</v>
      </c>
      <c r="F94" t="s">
        <v>24</v>
      </c>
      <c r="G94" t="s">
        <v>14</v>
      </c>
      <c r="H94" t="s">
        <v>40</v>
      </c>
      <c r="I94">
        <v>4</v>
      </c>
      <c r="J94" s="2">
        <v>485.99</v>
      </c>
      <c r="K94" s="2">
        <v>360.53</v>
      </c>
      <c r="L94" s="2">
        <f t="shared" si="3"/>
        <v>125.46000000000004</v>
      </c>
      <c r="M94" t="s">
        <v>29</v>
      </c>
    </row>
    <row r="95" spans="1:13" x14ac:dyDescent="0.3">
      <c r="A95" t="s">
        <v>122</v>
      </c>
      <c r="B95" s="1">
        <v>45327</v>
      </c>
      <c r="C95" s="1">
        <v>45332</v>
      </c>
      <c r="D95" s="6">
        <f t="shared" si="2"/>
        <v>5</v>
      </c>
      <c r="E95" t="s">
        <v>12</v>
      </c>
      <c r="F95" t="s">
        <v>27</v>
      </c>
      <c r="G95" t="s">
        <v>19</v>
      </c>
      <c r="H95" t="s">
        <v>15</v>
      </c>
      <c r="I95">
        <v>9</v>
      </c>
      <c r="J95" s="2">
        <v>1340.85</v>
      </c>
      <c r="K95" s="2">
        <v>857.86</v>
      </c>
      <c r="L95" s="2">
        <f t="shared" si="3"/>
        <v>482.9899999999999</v>
      </c>
      <c r="M95" t="s">
        <v>21</v>
      </c>
    </row>
    <row r="96" spans="1:13" x14ac:dyDescent="0.3">
      <c r="A96" t="s">
        <v>123</v>
      </c>
      <c r="B96" s="1">
        <v>45586</v>
      </c>
      <c r="C96" s="1">
        <v>45589</v>
      </c>
      <c r="D96" s="6">
        <f t="shared" si="2"/>
        <v>3</v>
      </c>
      <c r="E96" t="s">
        <v>42</v>
      </c>
      <c r="F96" t="s">
        <v>24</v>
      </c>
      <c r="G96" t="s">
        <v>14</v>
      </c>
      <c r="H96" t="s">
        <v>20</v>
      </c>
      <c r="I96">
        <v>2</v>
      </c>
      <c r="J96" s="2">
        <v>1032.8699999999999</v>
      </c>
      <c r="K96" s="2">
        <v>815.93</v>
      </c>
      <c r="L96" s="2">
        <f t="shared" si="3"/>
        <v>216.93999999999994</v>
      </c>
      <c r="M96" t="s">
        <v>16</v>
      </c>
    </row>
    <row r="97" spans="1:13" x14ac:dyDescent="0.3">
      <c r="A97" t="s">
        <v>124</v>
      </c>
      <c r="B97" s="1">
        <v>45366</v>
      </c>
      <c r="C97" s="1">
        <v>45371</v>
      </c>
      <c r="D97" s="6">
        <f t="shared" si="2"/>
        <v>5</v>
      </c>
      <c r="E97" t="s">
        <v>12</v>
      </c>
      <c r="F97" t="s">
        <v>33</v>
      </c>
      <c r="G97" t="s">
        <v>19</v>
      </c>
      <c r="H97" t="s">
        <v>40</v>
      </c>
      <c r="I97">
        <v>9</v>
      </c>
      <c r="J97" s="2">
        <v>531.86</v>
      </c>
      <c r="K97" s="2">
        <v>372.36</v>
      </c>
      <c r="L97" s="2">
        <f t="shared" si="3"/>
        <v>159.5</v>
      </c>
      <c r="M97" t="s">
        <v>29</v>
      </c>
    </row>
    <row r="98" spans="1:13" x14ac:dyDescent="0.3">
      <c r="A98" t="s">
        <v>125</v>
      </c>
      <c r="B98" s="1">
        <v>45656</v>
      </c>
      <c r="C98" s="1">
        <v>45666</v>
      </c>
      <c r="D98" s="6">
        <f t="shared" si="2"/>
        <v>10</v>
      </c>
      <c r="E98" t="s">
        <v>18</v>
      </c>
      <c r="F98" t="s">
        <v>27</v>
      </c>
      <c r="G98" t="s">
        <v>14</v>
      </c>
      <c r="H98" t="s">
        <v>15</v>
      </c>
      <c r="I98">
        <v>6</v>
      </c>
      <c r="J98" s="2">
        <v>1127.5999999999999</v>
      </c>
      <c r="K98" s="2">
        <v>948.2</v>
      </c>
      <c r="L98" s="2">
        <f t="shared" si="3"/>
        <v>179.39999999999986</v>
      </c>
      <c r="M98" t="s">
        <v>29</v>
      </c>
    </row>
    <row r="99" spans="1:13" x14ac:dyDescent="0.3">
      <c r="A99" t="s">
        <v>126</v>
      </c>
      <c r="B99" s="1">
        <v>45593</v>
      </c>
      <c r="C99" s="1">
        <v>45596</v>
      </c>
      <c r="D99" s="6">
        <f t="shared" si="2"/>
        <v>3</v>
      </c>
      <c r="E99" t="s">
        <v>12</v>
      </c>
      <c r="F99" t="s">
        <v>27</v>
      </c>
      <c r="G99" t="s">
        <v>14</v>
      </c>
      <c r="H99" t="s">
        <v>25</v>
      </c>
      <c r="I99">
        <v>3</v>
      </c>
      <c r="J99" s="2">
        <v>119.71</v>
      </c>
      <c r="K99" s="2">
        <v>74.2</v>
      </c>
      <c r="L99" s="2">
        <f t="shared" si="3"/>
        <v>45.509999999999991</v>
      </c>
      <c r="M99" t="s">
        <v>29</v>
      </c>
    </row>
    <row r="100" spans="1:13" x14ac:dyDescent="0.3">
      <c r="A100" t="s">
        <v>127</v>
      </c>
      <c r="B100" s="1">
        <v>45477</v>
      </c>
      <c r="C100" s="1">
        <v>45480</v>
      </c>
      <c r="D100" s="6">
        <f t="shared" si="2"/>
        <v>3</v>
      </c>
      <c r="E100" t="s">
        <v>23</v>
      </c>
      <c r="F100" t="s">
        <v>13</v>
      </c>
      <c r="G100" t="s">
        <v>14</v>
      </c>
      <c r="H100" t="s">
        <v>15</v>
      </c>
      <c r="I100">
        <v>7</v>
      </c>
      <c r="J100" s="2">
        <v>1354.44</v>
      </c>
      <c r="K100" s="2">
        <v>856.4</v>
      </c>
      <c r="L100" s="2">
        <f t="shared" si="3"/>
        <v>498.04000000000008</v>
      </c>
      <c r="M100" t="s">
        <v>21</v>
      </c>
    </row>
    <row r="101" spans="1:13" x14ac:dyDescent="0.3">
      <c r="A101" t="s">
        <v>128</v>
      </c>
      <c r="B101" s="1">
        <v>45301</v>
      </c>
      <c r="C101" s="1">
        <v>45308</v>
      </c>
      <c r="D101" s="6">
        <f t="shared" si="2"/>
        <v>7</v>
      </c>
      <c r="E101" t="s">
        <v>18</v>
      </c>
      <c r="F101" t="s">
        <v>24</v>
      </c>
      <c r="G101" t="s">
        <v>19</v>
      </c>
      <c r="H101" t="s">
        <v>40</v>
      </c>
      <c r="I101">
        <v>7</v>
      </c>
      <c r="J101" s="2">
        <v>1824.65</v>
      </c>
      <c r="K101" s="2">
        <v>1251.3399999999999</v>
      </c>
      <c r="L101" s="2">
        <f t="shared" si="3"/>
        <v>573.31000000000017</v>
      </c>
      <c r="M101" t="s">
        <v>21</v>
      </c>
    </row>
    <row r="102" spans="1:13" x14ac:dyDescent="0.3">
      <c r="A102" t="s">
        <v>129</v>
      </c>
      <c r="B102" s="1">
        <v>45607</v>
      </c>
      <c r="C102" s="1">
        <v>45614</v>
      </c>
      <c r="D102" s="6">
        <f t="shared" si="2"/>
        <v>7</v>
      </c>
      <c r="E102" t="s">
        <v>18</v>
      </c>
      <c r="F102" t="s">
        <v>27</v>
      </c>
      <c r="G102" t="s">
        <v>19</v>
      </c>
      <c r="H102" t="s">
        <v>40</v>
      </c>
      <c r="I102">
        <v>6</v>
      </c>
      <c r="J102" s="2">
        <v>1109.68</v>
      </c>
      <c r="K102" s="2">
        <v>734.05</v>
      </c>
      <c r="L102" s="2">
        <f t="shared" si="3"/>
        <v>375.63000000000011</v>
      </c>
      <c r="M102" t="s">
        <v>29</v>
      </c>
    </row>
    <row r="103" spans="1:13" x14ac:dyDescent="0.3">
      <c r="A103" t="s">
        <v>130</v>
      </c>
      <c r="B103" s="1">
        <v>45360</v>
      </c>
      <c r="C103" s="1">
        <v>45367</v>
      </c>
      <c r="D103" s="6">
        <f t="shared" si="2"/>
        <v>7</v>
      </c>
      <c r="E103" t="s">
        <v>18</v>
      </c>
      <c r="F103" t="s">
        <v>24</v>
      </c>
      <c r="G103" t="s">
        <v>19</v>
      </c>
      <c r="H103" t="s">
        <v>15</v>
      </c>
      <c r="I103">
        <v>3</v>
      </c>
      <c r="J103" s="2">
        <v>1413.22</v>
      </c>
      <c r="K103" s="2">
        <v>1146.53</v>
      </c>
      <c r="L103" s="2">
        <f t="shared" si="3"/>
        <v>266.69000000000005</v>
      </c>
      <c r="M103" t="s">
        <v>21</v>
      </c>
    </row>
    <row r="104" spans="1:13" x14ac:dyDescent="0.3">
      <c r="A104" t="s">
        <v>131</v>
      </c>
      <c r="B104" s="1">
        <v>45430</v>
      </c>
      <c r="C104" s="1">
        <v>45440</v>
      </c>
      <c r="D104" s="6">
        <f t="shared" si="2"/>
        <v>10</v>
      </c>
      <c r="E104" t="s">
        <v>42</v>
      </c>
      <c r="F104" t="s">
        <v>24</v>
      </c>
      <c r="G104" t="s">
        <v>14</v>
      </c>
      <c r="H104" t="s">
        <v>25</v>
      </c>
      <c r="I104">
        <v>3</v>
      </c>
      <c r="J104" s="2">
        <v>1206.05</v>
      </c>
      <c r="K104" s="2">
        <v>821.91</v>
      </c>
      <c r="L104" s="2">
        <f t="shared" si="3"/>
        <v>384.14</v>
      </c>
      <c r="M104" t="s">
        <v>29</v>
      </c>
    </row>
    <row r="105" spans="1:13" x14ac:dyDescent="0.3">
      <c r="A105" t="s">
        <v>132</v>
      </c>
      <c r="B105" s="1">
        <v>45512</v>
      </c>
      <c r="C105" s="1">
        <v>45519</v>
      </c>
      <c r="D105" s="6">
        <f t="shared" si="2"/>
        <v>7</v>
      </c>
      <c r="E105" t="s">
        <v>42</v>
      </c>
      <c r="F105" t="s">
        <v>27</v>
      </c>
      <c r="G105" t="s">
        <v>19</v>
      </c>
      <c r="H105" t="s">
        <v>15</v>
      </c>
      <c r="I105">
        <v>1</v>
      </c>
      <c r="J105" s="2">
        <v>329.18</v>
      </c>
      <c r="K105" s="2">
        <v>276.45999999999998</v>
      </c>
      <c r="L105" s="2">
        <f t="shared" si="3"/>
        <v>52.720000000000027</v>
      </c>
      <c r="M105" t="s">
        <v>21</v>
      </c>
    </row>
    <row r="106" spans="1:13" x14ac:dyDescent="0.3">
      <c r="A106" t="s">
        <v>133</v>
      </c>
      <c r="B106" s="1">
        <v>45458</v>
      </c>
      <c r="C106" s="1">
        <v>45465</v>
      </c>
      <c r="D106" s="6">
        <f t="shared" si="2"/>
        <v>7</v>
      </c>
      <c r="E106" t="s">
        <v>18</v>
      </c>
      <c r="F106" t="s">
        <v>27</v>
      </c>
      <c r="G106" t="s">
        <v>19</v>
      </c>
      <c r="H106" t="s">
        <v>40</v>
      </c>
      <c r="I106">
        <v>3</v>
      </c>
      <c r="J106" s="2">
        <v>830.09</v>
      </c>
      <c r="K106" s="2">
        <v>660.06</v>
      </c>
      <c r="L106" s="2">
        <f t="shared" si="3"/>
        <v>170.03000000000009</v>
      </c>
      <c r="M106" t="s">
        <v>21</v>
      </c>
    </row>
    <row r="107" spans="1:13" x14ac:dyDescent="0.3">
      <c r="A107" t="s">
        <v>134</v>
      </c>
      <c r="B107" s="1">
        <v>45402</v>
      </c>
      <c r="C107" s="1">
        <v>45408</v>
      </c>
      <c r="D107" s="6">
        <f t="shared" si="2"/>
        <v>6</v>
      </c>
      <c r="E107" t="s">
        <v>18</v>
      </c>
      <c r="F107" t="s">
        <v>31</v>
      </c>
      <c r="G107" t="s">
        <v>19</v>
      </c>
      <c r="H107" t="s">
        <v>25</v>
      </c>
      <c r="I107">
        <v>4</v>
      </c>
      <c r="J107" s="2">
        <v>476.85</v>
      </c>
      <c r="K107" s="2">
        <v>402.89</v>
      </c>
      <c r="L107" s="2">
        <f t="shared" si="3"/>
        <v>73.960000000000036</v>
      </c>
      <c r="M107" t="s">
        <v>29</v>
      </c>
    </row>
    <row r="108" spans="1:13" x14ac:dyDescent="0.3">
      <c r="A108" t="s">
        <v>135</v>
      </c>
      <c r="B108" s="1">
        <v>45473</v>
      </c>
      <c r="C108" s="1">
        <v>45477</v>
      </c>
      <c r="D108" s="6">
        <f t="shared" si="2"/>
        <v>4</v>
      </c>
      <c r="E108" t="s">
        <v>12</v>
      </c>
      <c r="F108" t="s">
        <v>27</v>
      </c>
      <c r="G108" t="s">
        <v>14</v>
      </c>
      <c r="H108" t="s">
        <v>15</v>
      </c>
      <c r="I108">
        <v>2</v>
      </c>
      <c r="J108" s="2">
        <v>1428.42</v>
      </c>
      <c r="K108" s="2">
        <v>1112.2</v>
      </c>
      <c r="L108" s="2">
        <f t="shared" si="3"/>
        <v>316.22000000000003</v>
      </c>
      <c r="M108" t="s">
        <v>16</v>
      </c>
    </row>
    <row r="109" spans="1:13" x14ac:dyDescent="0.3">
      <c r="A109" t="s">
        <v>136</v>
      </c>
      <c r="B109" s="1">
        <v>45314</v>
      </c>
      <c r="C109" s="1">
        <v>45317</v>
      </c>
      <c r="D109" s="6">
        <f t="shared" si="2"/>
        <v>3</v>
      </c>
      <c r="E109" t="s">
        <v>23</v>
      </c>
      <c r="F109" t="s">
        <v>33</v>
      </c>
      <c r="G109" t="s">
        <v>19</v>
      </c>
      <c r="H109" t="s">
        <v>25</v>
      </c>
      <c r="I109">
        <v>1</v>
      </c>
      <c r="J109" s="2">
        <v>1110.81</v>
      </c>
      <c r="K109" s="2">
        <v>769.03</v>
      </c>
      <c r="L109" s="2">
        <f t="shared" si="3"/>
        <v>341.78</v>
      </c>
      <c r="M109" t="s">
        <v>16</v>
      </c>
    </row>
    <row r="110" spans="1:13" x14ac:dyDescent="0.3">
      <c r="A110" t="s">
        <v>137</v>
      </c>
      <c r="B110" s="1">
        <v>45344</v>
      </c>
      <c r="C110" s="1">
        <v>45351</v>
      </c>
      <c r="D110" s="6">
        <f t="shared" si="2"/>
        <v>7</v>
      </c>
      <c r="E110" t="s">
        <v>42</v>
      </c>
      <c r="F110" t="s">
        <v>33</v>
      </c>
      <c r="G110" t="s">
        <v>14</v>
      </c>
      <c r="H110" t="s">
        <v>20</v>
      </c>
      <c r="I110">
        <v>5</v>
      </c>
      <c r="J110" s="2">
        <v>608.78</v>
      </c>
      <c r="K110" s="2">
        <v>484.43</v>
      </c>
      <c r="L110" s="2">
        <f t="shared" si="3"/>
        <v>124.34999999999997</v>
      </c>
      <c r="M110" t="s">
        <v>29</v>
      </c>
    </row>
    <row r="111" spans="1:13" x14ac:dyDescent="0.3">
      <c r="A111" t="s">
        <v>138</v>
      </c>
      <c r="B111" s="1">
        <v>45385</v>
      </c>
      <c r="C111" s="1">
        <v>45395</v>
      </c>
      <c r="D111" s="6">
        <f t="shared" si="2"/>
        <v>10</v>
      </c>
      <c r="E111" t="s">
        <v>42</v>
      </c>
      <c r="F111" t="s">
        <v>27</v>
      </c>
      <c r="G111" t="s">
        <v>14</v>
      </c>
      <c r="H111" t="s">
        <v>20</v>
      </c>
      <c r="I111">
        <v>9</v>
      </c>
      <c r="J111" s="2">
        <v>869.13</v>
      </c>
      <c r="K111" s="2">
        <v>535.5</v>
      </c>
      <c r="L111" s="2">
        <f t="shared" si="3"/>
        <v>333.63</v>
      </c>
      <c r="M111" t="s">
        <v>16</v>
      </c>
    </row>
    <row r="112" spans="1:13" x14ac:dyDescent="0.3">
      <c r="A112" t="s">
        <v>139</v>
      </c>
      <c r="B112" s="1">
        <v>45355</v>
      </c>
      <c r="C112" s="1">
        <v>45365</v>
      </c>
      <c r="D112" s="6">
        <f t="shared" si="2"/>
        <v>10</v>
      </c>
      <c r="E112" t="s">
        <v>18</v>
      </c>
      <c r="F112" t="s">
        <v>31</v>
      </c>
      <c r="G112" t="s">
        <v>14</v>
      </c>
      <c r="H112" t="s">
        <v>25</v>
      </c>
      <c r="I112">
        <v>5</v>
      </c>
      <c r="J112" s="2">
        <v>1736.48</v>
      </c>
      <c r="K112" s="2">
        <v>1364.51</v>
      </c>
      <c r="L112" s="2">
        <f t="shared" si="3"/>
        <v>371.97</v>
      </c>
      <c r="M112" t="s">
        <v>16</v>
      </c>
    </row>
    <row r="113" spans="1:13" x14ac:dyDescent="0.3">
      <c r="A113" t="s">
        <v>140</v>
      </c>
      <c r="B113" s="1">
        <v>45596</v>
      </c>
      <c r="C113" s="1">
        <v>45605</v>
      </c>
      <c r="D113" s="6">
        <f t="shared" si="2"/>
        <v>9</v>
      </c>
      <c r="E113" t="s">
        <v>42</v>
      </c>
      <c r="F113" t="s">
        <v>27</v>
      </c>
      <c r="G113" t="s">
        <v>19</v>
      </c>
      <c r="H113" t="s">
        <v>25</v>
      </c>
      <c r="I113">
        <v>5</v>
      </c>
      <c r="J113" s="2">
        <v>1305.76</v>
      </c>
      <c r="K113" s="2">
        <v>923.23</v>
      </c>
      <c r="L113" s="2">
        <f t="shared" si="3"/>
        <v>382.53</v>
      </c>
      <c r="M113" t="s">
        <v>21</v>
      </c>
    </row>
    <row r="114" spans="1:13" x14ac:dyDescent="0.3">
      <c r="A114" t="s">
        <v>141</v>
      </c>
      <c r="B114" s="1">
        <v>45541</v>
      </c>
      <c r="C114" s="1">
        <v>45547</v>
      </c>
      <c r="D114" s="6">
        <f t="shared" si="2"/>
        <v>6</v>
      </c>
      <c r="E114" t="s">
        <v>23</v>
      </c>
      <c r="F114" t="s">
        <v>33</v>
      </c>
      <c r="G114" t="s">
        <v>19</v>
      </c>
      <c r="H114" t="s">
        <v>20</v>
      </c>
      <c r="I114">
        <v>2</v>
      </c>
      <c r="J114" s="2">
        <v>1075.1300000000001</v>
      </c>
      <c r="K114" s="2">
        <v>702.46</v>
      </c>
      <c r="L114" s="2">
        <f t="shared" si="3"/>
        <v>372.67000000000007</v>
      </c>
      <c r="M114" t="s">
        <v>16</v>
      </c>
    </row>
    <row r="115" spans="1:13" x14ac:dyDescent="0.3">
      <c r="A115" t="s">
        <v>142</v>
      </c>
      <c r="B115" s="1">
        <v>45418</v>
      </c>
      <c r="C115" s="1">
        <v>45426</v>
      </c>
      <c r="D115" s="6">
        <f t="shared" si="2"/>
        <v>8</v>
      </c>
      <c r="E115" t="s">
        <v>42</v>
      </c>
      <c r="F115" t="s">
        <v>24</v>
      </c>
      <c r="G115" t="s">
        <v>14</v>
      </c>
      <c r="H115" t="s">
        <v>40</v>
      </c>
      <c r="I115">
        <v>3</v>
      </c>
      <c r="J115" s="2">
        <v>890.36</v>
      </c>
      <c r="K115" s="2">
        <v>601.84</v>
      </c>
      <c r="L115" s="2">
        <f t="shared" si="3"/>
        <v>288.52</v>
      </c>
      <c r="M115" t="s">
        <v>16</v>
      </c>
    </row>
    <row r="116" spans="1:13" x14ac:dyDescent="0.3">
      <c r="A116" t="s">
        <v>143</v>
      </c>
      <c r="B116" s="1">
        <v>45464</v>
      </c>
      <c r="C116" s="1">
        <v>45471</v>
      </c>
      <c r="D116" s="6">
        <f t="shared" si="2"/>
        <v>7</v>
      </c>
      <c r="E116" t="s">
        <v>12</v>
      </c>
      <c r="F116" t="s">
        <v>27</v>
      </c>
      <c r="G116" t="s">
        <v>14</v>
      </c>
      <c r="H116" t="s">
        <v>20</v>
      </c>
      <c r="I116">
        <v>1</v>
      </c>
      <c r="J116" s="2">
        <v>732.99</v>
      </c>
      <c r="K116" s="2">
        <v>558.52</v>
      </c>
      <c r="L116" s="2">
        <f t="shared" si="3"/>
        <v>174.47000000000003</v>
      </c>
      <c r="M116" t="s">
        <v>29</v>
      </c>
    </row>
    <row r="117" spans="1:13" x14ac:dyDescent="0.3">
      <c r="A117" t="s">
        <v>144</v>
      </c>
      <c r="B117" s="1">
        <v>45605</v>
      </c>
      <c r="C117" s="1">
        <v>45609</v>
      </c>
      <c r="D117" s="6">
        <f t="shared" si="2"/>
        <v>4</v>
      </c>
      <c r="E117" t="s">
        <v>42</v>
      </c>
      <c r="F117" t="s">
        <v>24</v>
      </c>
      <c r="G117" t="s">
        <v>14</v>
      </c>
      <c r="H117" t="s">
        <v>40</v>
      </c>
      <c r="I117">
        <v>10</v>
      </c>
      <c r="J117" s="2">
        <v>1251.21</v>
      </c>
      <c r="K117" s="2">
        <v>886.5</v>
      </c>
      <c r="L117" s="2">
        <f t="shared" si="3"/>
        <v>364.71000000000004</v>
      </c>
      <c r="M117" t="s">
        <v>16</v>
      </c>
    </row>
    <row r="118" spans="1:13" x14ac:dyDescent="0.3">
      <c r="A118" t="s">
        <v>145</v>
      </c>
      <c r="B118" s="1">
        <v>45317</v>
      </c>
      <c r="C118" s="1">
        <v>45325</v>
      </c>
      <c r="D118" s="6">
        <f t="shared" si="2"/>
        <v>8</v>
      </c>
      <c r="E118" t="s">
        <v>18</v>
      </c>
      <c r="F118" t="s">
        <v>33</v>
      </c>
      <c r="G118" t="s">
        <v>19</v>
      </c>
      <c r="H118" t="s">
        <v>15</v>
      </c>
      <c r="I118">
        <v>10</v>
      </c>
      <c r="J118" s="2">
        <v>1995.61</v>
      </c>
      <c r="K118" s="2">
        <v>1605.8</v>
      </c>
      <c r="L118" s="2">
        <f t="shared" si="3"/>
        <v>389.80999999999995</v>
      </c>
      <c r="M118" t="s">
        <v>21</v>
      </c>
    </row>
    <row r="119" spans="1:13" x14ac:dyDescent="0.3">
      <c r="A119" t="s">
        <v>146</v>
      </c>
      <c r="B119" s="1">
        <v>45375</v>
      </c>
      <c r="C119" s="1">
        <v>45380</v>
      </c>
      <c r="D119" s="6">
        <f t="shared" si="2"/>
        <v>5</v>
      </c>
      <c r="E119" t="s">
        <v>18</v>
      </c>
      <c r="F119" t="s">
        <v>33</v>
      </c>
      <c r="G119" t="s">
        <v>14</v>
      </c>
      <c r="H119" t="s">
        <v>40</v>
      </c>
      <c r="I119">
        <v>8</v>
      </c>
      <c r="J119" s="2">
        <v>726.92</v>
      </c>
      <c r="K119" s="2">
        <v>612.97</v>
      </c>
      <c r="L119" s="2">
        <f t="shared" si="3"/>
        <v>113.94999999999993</v>
      </c>
      <c r="M119" t="s">
        <v>21</v>
      </c>
    </row>
    <row r="120" spans="1:13" x14ac:dyDescent="0.3">
      <c r="A120" t="s">
        <v>147</v>
      </c>
      <c r="B120" s="1">
        <v>45539</v>
      </c>
      <c r="C120" s="1">
        <v>45542</v>
      </c>
      <c r="D120" s="6">
        <f t="shared" si="2"/>
        <v>3</v>
      </c>
      <c r="E120" t="s">
        <v>42</v>
      </c>
      <c r="F120" t="s">
        <v>31</v>
      </c>
      <c r="G120" t="s">
        <v>14</v>
      </c>
      <c r="H120" t="s">
        <v>25</v>
      </c>
      <c r="I120">
        <v>6</v>
      </c>
      <c r="J120" s="2">
        <v>631.04</v>
      </c>
      <c r="K120" s="2">
        <v>441.85</v>
      </c>
      <c r="L120" s="2">
        <f t="shared" si="3"/>
        <v>189.18999999999994</v>
      </c>
      <c r="M120" t="s">
        <v>16</v>
      </c>
    </row>
    <row r="121" spans="1:13" x14ac:dyDescent="0.3">
      <c r="A121" t="s">
        <v>148</v>
      </c>
      <c r="B121" s="1">
        <v>45308</v>
      </c>
      <c r="C121" s="1">
        <v>45315</v>
      </c>
      <c r="D121" s="6">
        <f t="shared" si="2"/>
        <v>7</v>
      </c>
      <c r="E121" t="s">
        <v>42</v>
      </c>
      <c r="F121" t="s">
        <v>31</v>
      </c>
      <c r="G121" t="s">
        <v>19</v>
      </c>
      <c r="H121" t="s">
        <v>15</v>
      </c>
      <c r="I121">
        <v>8</v>
      </c>
      <c r="J121" s="2">
        <v>302.12</v>
      </c>
      <c r="K121" s="2">
        <v>245.75</v>
      </c>
      <c r="L121" s="2">
        <f t="shared" si="3"/>
        <v>56.370000000000005</v>
      </c>
      <c r="M121" t="s">
        <v>21</v>
      </c>
    </row>
    <row r="122" spans="1:13" x14ac:dyDescent="0.3">
      <c r="A122" t="s">
        <v>149</v>
      </c>
      <c r="B122" s="1">
        <v>45482</v>
      </c>
      <c r="C122" s="1">
        <v>45491</v>
      </c>
      <c r="D122" s="6">
        <f t="shared" si="2"/>
        <v>9</v>
      </c>
      <c r="E122" t="s">
        <v>12</v>
      </c>
      <c r="F122" t="s">
        <v>27</v>
      </c>
      <c r="G122" t="s">
        <v>14</v>
      </c>
      <c r="H122" t="s">
        <v>15</v>
      </c>
      <c r="I122">
        <v>1</v>
      </c>
      <c r="J122" s="2">
        <v>1961.96</v>
      </c>
      <c r="K122" s="2">
        <v>1413.34</v>
      </c>
      <c r="L122" s="2">
        <f t="shared" si="3"/>
        <v>548.62000000000012</v>
      </c>
      <c r="M122" t="s">
        <v>16</v>
      </c>
    </row>
    <row r="123" spans="1:13" x14ac:dyDescent="0.3">
      <c r="A123" t="s">
        <v>150</v>
      </c>
      <c r="B123" s="1">
        <v>45453</v>
      </c>
      <c r="C123" s="1">
        <v>45455</v>
      </c>
      <c r="D123" s="6">
        <f t="shared" si="2"/>
        <v>2</v>
      </c>
      <c r="E123" t="s">
        <v>42</v>
      </c>
      <c r="F123" t="s">
        <v>27</v>
      </c>
      <c r="G123" t="s">
        <v>14</v>
      </c>
      <c r="H123" t="s">
        <v>20</v>
      </c>
      <c r="I123">
        <v>8</v>
      </c>
      <c r="J123" s="2">
        <v>1972.19</v>
      </c>
      <c r="K123" s="2">
        <v>1482.5</v>
      </c>
      <c r="L123" s="2">
        <f t="shared" si="3"/>
        <v>489.69000000000005</v>
      </c>
      <c r="M123" t="s">
        <v>16</v>
      </c>
    </row>
    <row r="124" spans="1:13" x14ac:dyDescent="0.3">
      <c r="A124" t="s">
        <v>151</v>
      </c>
      <c r="B124" s="1">
        <v>45502</v>
      </c>
      <c r="C124" s="1">
        <v>45509</v>
      </c>
      <c r="D124" s="6">
        <f t="shared" si="2"/>
        <v>7</v>
      </c>
      <c r="E124" t="s">
        <v>42</v>
      </c>
      <c r="F124" t="s">
        <v>24</v>
      </c>
      <c r="G124" t="s">
        <v>19</v>
      </c>
      <c r="H124" t="s">
        <v>15</v>
      </c>
      <c r="I124">
        <v>6</v>
      </c>
      <c r="J124" s="2">
        <v>700.68</v>
      </c>
      <c r="K124" s="2">
        <v>523.54</v>
      </c>
      <c r="L124" s="2">
        <f t="shared" si="3"/>
        <v>177.14</v>
      </c>
      <c r="M124" t="s">
        <v>21</v>
      </c>
    </row>
    <row r="125" spans="1:13" x14ac:dyDescent="0.3">
      <c r="A125" t="s">
        <v>152</v>
      </c>
      <c r="B125" s="1">
        <v>45600</v>
      </c>
      <c r="C125" s="1">
        <v>45604</v>
      </c>
      <c r="D125" s="6">
        <f t="shared" si="2"/>
        <v>4</v>
      </c>
      <c r="E125" t="s">
        <v>18</v>
      </c>
      <c r="F125" t="s">
        <v>27</v>
      </c>
      <c r="G125" t="s">
        <v>14</v>
      </c>
      <c r="H125" t="s">
        <v>25</v>
      </c>
      <c r="I125">
        <v>10</v>
      </c>
      <c r="J125" s="2">
        <v>362.39</v>
      </c>
      <c r="K125" s="2">
        <v>224.56</v>
      </c>
      <c r="L125" s="2">
        <f t="shared" si="3"/>
        <v>137.82999999999998</v>
      </c>
      <c r="M125" t="s">
        <v>29</v>
      </c>
    </row>
    <row r="126" spans="1:13" x14ac:dyDescent="0.3">
      <c r="A126" t="s">
        <v>153</v>
      </c>
      <c r="B126" s="1">
        <v>45641</v>
      </c>
      <c r="C126" s="1">
        <v>45646</v>
      </c>
      <c r="D126" s="6">
        <f t="shared" si="2"/>
        <v>5</v>
      </c>
      <c r="E126" t="s">
        <v>12</v>
      </c>
      <c r="F126" t="s">
        <v>33</v>
      </c>
      <c r="G126" t="s">
        <v>19</v>
      </c>
      <c r="H126" t="s">
        <v>15</v>
      </c>
      <c r="I126">
        <v>5</v>
      </c>
      <c r="J126" s="2">
        <v>723.13</v>
      </c>
      <c r="K126" s="2">
        <v>568.03</v>
      </c>
      <c r="L126" s="2">
        <f t="shared" si="3"/>
        <v>155.10000000000002</v>
      </c>
      <c r="M126" t="s">
        <v>29</v>
      </c>
    </row>
    <row r="127" spans="1:13" x14ac:dyDescent="0.3">
      <c r="A127" t="s">
        <v>154</v>
      </c>
      <c r="B127" s="1">
        <v>45548</v>
      </c>
      <c r="C127" s="1">
        <v>45555</v>
      </c>
      <c r="D127" s="6">
        <f t="shared" si="2"/>
        <v>7</v>
      </c>
      <c r="E127" t="s">
        <v>42</v>
      </c>
      <c r="F127" t="s">
        <v>33</v>
      </c>
      <c r="G127" t="s">
        <v>14</v>
      </c>
      <c r="H127" t="s">
        <v>20</v>
      </c>
      <c r="I127">
        <v>4</v>
      </c>
      <c r="J127" s="2">
        <v>1542.08</v>
      </c>
      <c r="K127" s="2">
        <v>1139.8599999999999</v>
      </c>
      <c r="L127" s="2">
        <f t="shared" si="3"/>
        <v>402.22</v>
      </c>
      <c r="M127" t="s">
        <v>16</v>
      </c>
    </row>
    <row r="128" spans="1:13" x14ac:dyDescent="0.3">
      <c r="A128" t="s">
        <v>155</v>
      </c>
      <c r="B128" s="1">
        <v>45638</v>
      </c>
      <c r="C128" s="1">
        <v>45641</v>
      </c>
      <c r="D128" s="6">
        <f t="shared" si="2"/>
        <v>3</v>
      </c>
      <c r="E128" t="s">
        <v>42</v>
      </c>
      <c r="F128" t="s">
        <v>33</v>
      </c>
      <c r="G128" t="s">
        <v>19</v>
      </c>
      <c r="H128" t="s">
        <v>20</v>
      </c>
      <c r="I128">
        <v>3</v>
      </c>
      <c r="J128" s="2">
        <v>1687.31</v>
      </c>
      <c r="K128" s="2">
        <v>1392.64</v>
      </c>
      <c r="L128" s="2">
        <f t="shared" si="3"/>
        <v>294.66999999999985</v>
      </c>
      <c r="M128" t="s">
        <v>16</v>
      </c>
    </row>
    <row r="129" spans="1:13" x14ac:dyDescent="0.3">
      <c r="A129" t="s">
        <v>156</v>
      </c>
      <c r="B129" s="1">
        <v>45425</v>
      </c>
      <c r="C129" s="1">
        <v>45435</v>
      </c>
      <c r="D129" s="6">
        <f t="shared" si="2"/>
        <v>10</v>
      </c>
      <c r="E129" t="s">
        <v>18</v>
      </c>
      <c r="F129" t="s">
        <v>24</v>
      </c>
      <c r="G129" t="s">
        <v>19</v>
      </c>
      <c r="H129" t="s">
        <v>20</v>
      </c>
      <c r="I129">
        <v>7</v>
      </c>
      <c r="J129" s="2">
        <v>1793.44</v>
      </c>
      <c r="K129" s="2">
        <v>1446.46</v>
      </c>
      <c r="L129" s="2">
        <f t="shared" si="3"/>
        <v>346.98</v>
      </c>
      <c r="M129" t="s">
        <v>16</v>
      </c>
    </row>
    <row r="130" spans="1:13" x14ac:dyDescent="0.3">
      <c r="A130" t="s">
        <v>157</v>
      </c>
      <c r="B130" s="1">
        <v>45640</v>
      </c>
      <c r="C130" s="1">
        <v>45650</v>
      </c>
      <c r="D130" s="6">
        <f t="shared" si="2"/>
        <v>10</v>
      </c>
      <c r="E130" t="s">
        <v>12</v>
      </c>
      <c r="F130" t="s">
        <v>31</v>
      </c>
      <c r="G130" t="s">
        <v>14</v>
      </c>
      <c r="H130" t="s">
        <v>25</v>
      </c>
      <c r="I130">
        <v>8</v>
      </c>
      <c r="J130" s="2">
        <v>1169.31</v>
      </c>
      <c r="K130" s="2">
        <v>793.71</v>
      </c>
      <c r="L130" s="2">
        <f t="shared" si="3"/>
        <v>375.59999999999991</v>
      </c>
      <c r="M130" t="s">
        <v>16</v>
      </c>
    </row>
    <row r="131" spans="1:13" x14ac:dyDescent="0.3">
      <c r="A131" t="s">
        <v>158</v>
      </c>
      <c r="B131" s="1">
        <v>45479</v>
      </c>
      <c r="C131" s="1">
        <v>45489</v>
      </c>
      <c r="D131" s="6">
        <f t="shared" ref="D131:D194" si="4">C131-B131</f>
        <v>10</v>
      </c>
      <c r="E131" t="s">
        <v>12</v>
      </c>
      <c r="F131" t="s">
        <v>31</v>
      </c>
      <c r="G131" t="s">
        <v>14</v>
      </c>
      <c r="H131" t="s">
        <v>20</v>
      </c>
      <c r="I131">
        <v>4</v>
      </c>
      <c r="J131" s="2">
        <v>144.30000000000001</v>
      </c>
      <c r="K131" s="2">
        <v>117.23</v>
      </c>
      <c r="L131" s="2">
        <f t="shared" ref="L131:L194" si="5">J131-K131</f>
        <v>27.070000000000007</v>
      </c>
      <c r="M131" t="s">
        <v>29</v>
      </c>
    </row>
    <row r="132" spans="1:13" x14ac:dyDescent="0.3">
      <c r="A132" t="s">
        <v>159</v>
      </c>
      <c r="B132" s="1">
        <v>45529</v>
      </c>
      <c r="C132" s="1">
        <v>45536</v>
      </c>
      <c r="D132" s="6">
        <f t="shared" si="4"/>
        <v>7</v>
      </c>
      <c r="E132" t="s">
        <v>42</v>
      </c>
      <c r="F132" t="s">
        <v>24</v>
      </c>
      <c r="G132" t="s">
        <v>14</v>
      </c>
      <c r="H132" t="s">
        <v>40</v>
      </c>
      <c r="I132">
        <v>9</v>
      </c>
      <c r="J132" s="2">
        <v>1605.15</v>
      </c>
      <c r="K132" s="2">
        <v>1210.2</v>
      </c>
      <c r="L132" s="2">
        <f t="shared" si="5"/>
        <v>394.95000000000005</v>
      </c>
      <c r="M132" t="s">
        <v>29</v>
      </c>
    </row>
    <row r="133" spans="1:13" x14ac:dyDescent="0.3">
      <c r="A133" t="s">
        <v>160</v>
      </c>
      <c r="B133" s="1">
        <v>45345</v>
      </c>
      <c r="C133" s="1">
        <v>45354</v>
      </c>
      <c r="D133" s="6">
        <f t="shared" si="4"/>
        <v>9</v>
      </c>
      <c r="E133" t="s">
        <v>18</v>
      </c>
      <c r="F133" t="s">
        <v>33</v>
      </c>
      <c r="G133" t="s">
        <v>19</v>
      </c>
      <c r="H133" t="s">
        <v>20</v>
      </c>
      <c r="I133">
        <v>1</v>
      </c>
      <c r="J133" s="2">
        <v>143.82</v>
      </c>
      <c r="K133" s="2">
        <v>106.12</v>
      </c>
      <c r="L133" s="2">
        <f t="shared" si="5"/>
        <v>37.699999999999989</v>
      </c>
      <c r="M133" t="s">
        <v>16</v>
      </c>
    </row>
    <row r="134" spans="1:13" x14ac:dyDescent="0.3">
      <c r="A134" t="s">
        <v>161</v>
      </c>
      <c r="B134" s="1">
        <v>45385</v>
      </c>
      <c r="C134" s="1">
        <v>45390</v>
      </c>
      <c r="D134" s="6">
        <f t="shared" si="4"/>
        <v>5</v>
      </c>
      <c r="E134" t="s">
        <v>42</v>
      </c>
      <c r="F134" t="s">
        <v>24</v>
      </c>
      <c r="G134" t="s">
        <v>14</v>
      </c>
      <c r="H134" t="s">
        <v>40</v>
      </c>
      <c r="I134">
        <v>4</v>
      </c>
      <c r="J134" s="2">
        <v>1001.66</v>
      </c>
      <c r="K134" s="2">
        <v>684.25</v>
      </c>
      <c r="L134" s="2">
        <f t="shared" si="5"/>
        <v>317.40999999999997</v>
      </c>
      <c r="M134" t="s">
        <v>21</v>
      </c>
    </row>
    <row r="135" spans="1:13" x14ac:dyDescent="0.3">
      <c r="A135" t="s">
        <v>162</v>
      </c>
      <c r="B135" s="1">
        <v>45463</v>
      </c>
      <c r="C135" s="1">
        <v>45468</v>
      </c>
      <c r="D135" s="6">
        <f t="shared" si="4"/>
        <v>5</v>
      </c>
      <c r="E135" t="s">
        <v>23</v>
      </c>
      <c r="F135" t="s">
        <v>33</v>
      </c>
      <c r="G135" t="s">
        <v>14</v>
      </c>
      <c r="H135" t="s">
        <v>40</v>
      </c>
      <c r="I135">
        <v>2</v>
      </c>
      <c r="J135" s="2">
        <v>593.1</v>
      </c>
      <c r="K135" s="2">
        <v>406.58</v>
      </c>
      <c r="L135" s="2">
        <f t="shared" si="5"/>
        <v>186.52000000000004</v>
      </c>
      <c r="M135" t="s">
        <v>16</v>
      </c>
    </row>
    <row r="136" spans="1:13" x14ac:dyDescent="0.3">
      <c r="A136" t="s">
        <v>163</v>
      </c>
      <c r="B136" s="1">
        <v>45625</v>
      </c>
      <c r="C136" s="1">
        <v>45635</v>
      </c>
      <c r="D136" s="6">
        <f t="shared" si="4"/>
        <v>10</v>
      </c>
      <c r="E136" t="s">
        <v>23</v>
      </c>
      <c r="F136" t="s">
        <v>13</v>
      </c>
      <c r="G136" t="s">
        <v>19</v>
      </c>
      <c r="H136" t="s">
        <v>25</v>
      </c>
      <c r="I136">
        <v>2</v>
      </c>
      <c r="J136" s="2">
        <v>292.70999999999998</v>
      </c>
      <c r="K136" s="2">
        <v>225.24</v>
      </c>
      <c r="L136" s="2">
        <f t="shared" si="5"/>
        <v>67.46999999999997</v>
      </c>
      <c r="M136" t="s">
        <v>29</v>
      </c>
    </row>
    <row r="137" spans="1:13" x14ac:dyDescent="0.3">
      <c r="A137" t="s">
        <v>164</v>
      </c>
      <c r="B137" s="1">
        <v>45393</v>
      </c>
      <c r="C137" s="1">
        <v>45400</v>
      </c>
      <c r="D137" s="6">
        <f t="shared" si="4"/>
        <v>7</v>
      </c>
      <c r="E137" t="s">
        <v>42</v>
      </c>
      <c r="F137" t="s">
        <v>13</v>
      </c>
      <c r="G137" t="s">
        <v>19</v>
      </c>
      <c r="H137" t="s">
        <v>25</v>
      </c>
      <c r="I137">
        <v>9</v>
      </c>
      <c r="J137" s="2">
        <v>863.26</v>
      </c>
      <c r="K137" s="2">
        <v>689.44</v>
      </c>
      <c r="L137" s="2">
        <f t="shared" si="5"/>
        <v>173.81999999999994</v>
      </c>
      <c r="M137" t="s">
        <v>16</v>
      </c>
    </row>
    <row r="138" spans="1:13" x14ac:dyDescent="0.3">
      <c r="A138" t="s">
        <v>165</v>
      </c>
      <c r="B138" s="1">
        <v>45606</v>
      </c>
      <c r="C138" s="1">
        <v>45609</v>
      </c>
      <c r="D138" s="6">
        <f t="shared" si="4"/>
        <v>3</v>
      </c>
      <c r="E138" t="s">
        <v>12</v>
      </c>
      <c r="F138" t="s">
        <v>13</v>
      </c>
      <c r="G138" t="s">
        <v>14</v>
      </c>
      <c r="H138" t="s">
        <v>40</v>
      </c>
      <c r="I138">
        <v>9</v>
      </c>
      <c r="J138" s="2">
        <v>1138.58</v>
      </c>
      <c r="K138" s="2">
        <v>925.72</v>
      </c>
      <c r="L138" s="2">
        <f t="shared" si="5"/>
        <v>212.8599999999999</v>
      </c>
      <c r="M138" t="s">
        <v>21</v>
      </c>
    </row>
    <row r="139" spans="1:13" x14ac:dyDescent="0.3">
      <c r="A139" t="s">
        <v>166</v>
      </c>
      <c r="B139" s="1">
        <v>45551</v>
      </c>
      <c r="C139" s="1">
        <v>45560</v>
      </c>
      <c r="D139" s="6">
        <f t="shared" si="4"/>
        <v>9</v>
      </c>
      <c r="E139" t="s">
        <v>42</v>
      </c>
      <c r="F139" t="s">
        <v>31</v>
      </c>
      <c r="G139" t="s">
        <v>19</v>
      </c>
      <c r="H139" t="s">
        <v>20</v>
      </c>
      <c r="I139">
        <v>8</v>
      </c>
      <c r="J139" s="2">
        <v>1606.48</v>
      </c>
      <c r="K139" s="2">
        <v>1296.75</v>
      </c>
      <c r="L139" s="2">
        <f t="shared" si="5"/>
        <v>309.73</v>
      </c>
      <c r="M139" t="s">
        <v>21</v>
      </c>
    </row>
    <row r="140" spans="1:13" x14ac:dyDescent="0.3">
      <c r="A140" t="s">
        <v>167</v>
      </c>
      <c r="B140" s="1">
        <v>45648</v>
      </c>
      <c r="C140" s="1">
        <v>45654</v>
      </c>
      <c r="D140" s="6">
        <f t="shared" si="4"/>
        <v>6</v>
      </c>
      <c r="E140" t="s">
        <v>12</v>
      </c>
      <c r="F140" t="s">
        <v>33</v>
      </c>
      <c r="G140" t="s">
        <v>19</v>
      </c>
      <c r="H140" t="s">
        <v>25</v>
      </c>
      <c r="I140">
        <v>7</v>
      </c>
      <c r="J140" s="2">
        <v>1033.3599999999999</v>
      </c>
      <c r="K140" s="2">
        <v>754.46</v>
      </c>
      <c r="L140" s="2">
        <f t="shared" si="5"/>
        <v>278.89999999999986</v>
      </c>
      <c r="M140" t="s">
        <v>29</v>
      </c>
    </row>
    <row r="141" spans="1:13" x14ac:dyDescent="0.3">
      <c r="A141" t="s">
        <v>168</v>
      </c>
      <c r="B141" s="1">
        <v>45647</v>
      </c>
      <c r="C141" s="1">
        <v>45654</v>
      </c>
      <c r="D141" s="6">
        <f t="shared" si="4"/>
        <v>7</v>
      </c>
      <c r="E141" t="s">
        <v>18</v>
      </c>
      <c r="F141" t="s">
        <v>13</v>
      </c>
      <c r="G141" t="s">
        <v>19</v>
      </c>
      <c r="H141" t="s">
        <v>20</v>
      </c>
      <c r="I141">
        <v>6</v>
      </c>
      <c r="J141" s="2">
        <v>1241.98</v>
      </c>
      <c r="K141" s="2">
        <v>960.72</v>
      </c>
      <c r="L141" s="2">
        <f t="shared" si="5"/>
        <v>281.26</v>
      </c>
      <c r="M141" t="s">
        <v>21</v>
      </c>
    </row>
    <row r="142" spans="1:13" x14ac:dyDescent="0.3">
      <c r="A142" t="s">
        <v>169</v>
      </c>
      <c r="B142" s="1">
        <v>45632</v>
      </c>
      <c r="C142" s="1">
        <v>45641</v>
      </c>
      <c r="D142" s="6">
        <f t="shared" si="4"/>
        <v>9</v>
      </c>
      <c r="E142" t="s">
        <v>23</v>
      </c>
      <c r="F142" t="s">
        <v>31</v>
      </c>
      <c r="G142" t="s">
        <v>14</v>
      </c>
      <c r="H142" t="s">
        <v>20</v>
      </c>
      <c r="I142">
        <v>9</v>
      </c>
      <c r="J142" s="2">
        <v>1322.98</v>
      </c>
      <c r="K142" s="2">
        <v>987.71</v>
      </c>
      <c r="L142" s="2">
        <f t="shared" si="5"/>
        <v>335.27</v>
      </c>
      <c r="M142" t="s">
        <v>29</v>
      </c>
    </row>
    <row r="143" spans="1:13" x14ac:dyDescent="0.3">
      <c r="A143" t="s">
        <v>170</v>
      </c>
      <c r="B143" s="1">
        <v>45539</v>
      </c>
      <c r="C143" s="1">
        <v>45544</v>
      </c>
      <c r="D143" s="6">
        <f t="shared" si="4"/>
        <v>5</v>
      </c>
      <c r="E143" t="s">
        <v>12</v>
      </c>
      <c r="F143" t="s">
        <v>13</v>
      </c>
      <c r="G143" t="s">
        <v>14</v>
      </c>
      <c r="H143" t="s">
        <v>20</v>
      </c>
      <c r="I143">
        <v>1</v>
      </c>
      <c r="J143" s="2">
        <v>1772.93</v>
      </c>
      <c r="K143" s="2">
        <v>1333.37</v>
      </c>
      <c r="L143" s="2">
        <f t="shared" si="5"/>
        <v>439.56000000000017</v>
      </c>
      <c r="M143" t="s">
        <v>16</v>
      </c>
    </row>
    <row r="144" spans="1:13" x14ac:dyDescent="0.3">
      <c r="A144" t="s">
        <v>171</v>
      </c>
      <c r="B144" s="1">
        <v>45534</v>
      </c>
      <c r="C144" s="1">
        <v>45544</v>
      </c>
      <c r="D144" s="6">
        <f t="shared" si="4"/>
        <v>10</v>
      </c>
      <c r="E144" t="s">
        <v>42</v>
      </c>
      <c r="F144" t="s">
        <v>33</v>
      </c>
      <c r="G144" t="s">
        <v>14</v>
      </c>
      <c r="H144" t="s">
        <v>40</v>
      </c>
      <c r="I144">
        <v>8</v>
      </c>
      <c r="J144" s="2">
        <v>1234.7</v>
      </c>
      <c r="K144" s="2">
        <v>852.73</v>
      </c>
      <c r="L144" s="2">
        <f t="shared" si="5"/>
        <v>381.97</v>
      </c>
      <c r="M144" t="s">
        <v>16</v>
      </c>
    </row>
    <row r="145" spans="1:13" x14ac:dyDescent="0.3">
      <c r="A145" t="s">
        <v>172</v>
      </c>
      <c r="B145" s="1">
        <v>45606</v>
      </c>
      <c r="C145" s="1">
        <v>45611</v>
      </c>
      <c r="D145" s="6">
        <f t="shared" si="4"/>
        <v>5</v>
      </c>
      <c r="E145" t="s">
        <v>23</v>
      </c>
      <c r="F145" t="s">
        <v>33</v>
      </c>
      <c r="G145" t="s">
        <v>14</v>
      </c>
      <c r="H145" t="s">
        <v>40</v>
      </c>
      <c r="I145">
        <v>7</v>
      </c>
      <c r="J145" s="2">
        <v>1730.86</v>
      </c>
      <c r="K145" s="2">
        <v>1374.34</v>
      </c>
      <c r="L145" s="2">
        <f t="shared" si="5"/>
        <v>356.52</v>
      </c>
      <c r="M145" t="s">
        <v>29</v>
      </c>
    </row>
    <row r="146" spans="1:13" x14ac:dyDescent="0.3">
      <c r="A146" t="s">
        <v>173</v>
      </c>
      <c r="B146" s="1">
        <v>45566</v>
      </c>
      <c r="C146" s="1">
        <v>45572</v>
      </c>
      <c r="D146" s="6">
        <f t="shared" si="4"/>
        <v>6</v>
      </c>
      <c r="E146" t="s">
        <v>23</v>
      </c>
      <c r="F146" t="s">
        <v>33</v>
      </c>
      <c r="G146" t="s">
        <v>14</v>
      </c>
      <c r="H146" t="s">
        <v>20</v>
      </c>
      <c r="I146">
        <v>8</v>
      </c>
      <c r="J146" s="2">
        <v>1412.07</v>
      </c>
      <c r="K146" s="2">
        <v>1049.23</v>
      </c>
      <c r="L146" s="2">
        <f t="shared" si="5"/>
        <v>362.83999999999992</v>
      </c>
      <c r="M146" t="s">
        <v>21</v>
      </c>
    </row>
    <row r="147" spans="1:13" x14ac:dyDescent="0.3">
      <c r="A147" t="s">
        <v>174</v>
      </c>
      <c r="B147" s="1">
        <v>45517</v>
      </c>
      <c r="C147" s="1">
        <v>45519</v>
      </c>
      <c r="D147" s="6">
        <f t="shared" si="4"/>
        <v>2</v>
      </c>
      <c r="E147" t="s">
        <v>18</v>
      </c>
      <c r="F147" t="s">
        <v>31</v>
      </c>
      <c r="G147" t="s">
        <v>14</v>
      </c>
      <c r="H147" t="s">
        <v>15</v>
      </c>
      <c r="I147">
        <v>8</v>
      </c>
      <c r="J147" s="2">
        <v>1842.63</v>
      </c>
      <c r="K147" s="2">
        <v>1497.18</v>
      </c>
      <c r="L147" s="2">
        <f t="shared" si="5"/>
        <v>345.45000000000005</v>
      </c>
      <c r="M147" t="s">
        <v>21</v>
      </c>
    </row>
    <row r="148" spans="1:13" x14ac:dyDescent="0.3">
      <c r="A148" t="s">
        <v>175</v>
      </c>
      <c r="B148" s="1">
        <v>45584</v>
      </c>
      <c r="C148" s="1">
        <v>45587</v>
      </c>
      <c r="D148" s="6">
        <f t="shared" si="4"/>
        <v>3</v>
      </c>
      <c r="E148" t="s">
        <v>23</v>
      </c>
      <c r="F148" t="s">
        <v>13</v>
      </c>
      <c r="G148" t="s">
        <v>14</v>
      </c>
      <c r="H148" t="s">
        <v>20</v>
      </c>
      <c r="I148">
        <v>9</v>
      </c>
      <c r="J148" s="2">
        <v>1215.68</v>
      </c>
      <c r="K148" s="2">
        <v>842.01</v>
      </c>
      <c r="L148" s="2">
        <f t="shared" si="5"/>
        <v>373.67000000000007</v>
      </c>
      <c r="M148" t="s">
        <v>21</v>
      </c>
    </row>
    <row r="149" spans="1:13" x14ac:dyDescent="0.3">
      <c r="A149" t="s">
        <v>176</v>
      </c>
      <c r="B149" s="1">
        <v>45404</v>
      </c>
      <c r="C149" s="1">
        <v>45413</v>
      </c>
      <c r="D149" s="6">
        <f t="shared" si="4"/>
        <v>9</v>
      </c>
      <c r="E149" t="s">
        <v>18</v>
      </c>
      <c r="F149" t="s">
        <v>27</v>
      </c>
      <c r="G149" t="s">
        <v>14</v>
      </c>
      <c r="H149" t="s">
        <v>25</v>
      </c>
      <c r="I149">
        <v>2</v>
      </c>
      <c r="J149" s="2">
        <v>1054.6400000000001</v>
      </c>
      <c r="K149" s="2">
        <v>822.36</v>
      </c>
      <c r="L149" s="2">
        <f t="shared" si="5"/>
        <v>232.28000000000009</v>
      </c>
      <c r="M149" t="s">
        <v>21</v>
      </c>
    </row>
    <row r="150" spans="1:13" x14ac:dyDescent="0.3">
      <c r="A150" t="s">
        <v>177</v>
      </c>
      <c r="B150" s="1">
        <v>45560</v>
      </c>
      <c r="C150" s="1">
        <v>45564</v>
      </c>
      <c r="D150" s="6">
        <f t="shared" si="4"/>
        <v>4</v>
      </c>
      <c r="E150" t="s">
        <v>42</v>
      </c>
      <c r="F150" t="s">
        <v>33</v>
      </c>
      <c r="G150" t="s">
        <v>19</v>
      </c>
      <c r="H150" t="s">
        <v>15</v>
      </c>
      <c r="I150">
        <v>1</v>
      </c>
      <c r="J150" s="2">
        <v>1604.83</v>
      </c>
      <c r="K150" s="2">
        <v>1075.3699999999999</v>
      </c>
      <c r="L150" s="2">
        <f t="shared" si="5"/>
        <v>529.46</v>
      </c>
      <c r="M150" t="s">
        <v>16</v>
      </c>
    </row>
    <row r="151" spans="1:13" x14ac:dyDescent="0.3">
      <c r="A151" t="s">
        <v>178</v>
      </c>
      <c r="B151" s="1">
        <v>45605</v>
      </c>
      <c r="C151" s="1">
        <v>45615</v>
      </c>
      <c r="D151" s="6">
        <f t="shared" si="4"/>
        <v>10</v>
      </c>
      <c r="E151" t="s">
        <v>42</v>
      </c>
      <c r="F151" t="s">
        <v>33</v>
      </c>
      <c r="G151" t="s">
        <v>19</v>
      </c>
      <c r="H151" t="s">
        <v>25</v>
      </c>
      <c r="I151">
        <v>10</v>
      </c>
      <c r="J151" s="2">
        <v>1327.02</v>
      </c>
      <c r="K151" s="2">
        <v>834.66</v>
      </c>
      <c r="L151" s="2">
        <f t="shared" si="5"/>
        <v>492.36</v>
      </c>
      <c r="M151" t="s">
        <v>16</v>
      </c>
    </row>
    <row r="152" spans="1:13" x14ac:dyDescent="0.3">
      <c r="A152" t="s">
        <v>179</v>
      </c>
      <c r="B152" s="1">
        <v>45414</v>
      </c>
      <c r="C152" s="1">
        <v>45423</v>
      </c>
      <c r="D152" s="6">
        <f t="shared" si="4"/>
        <v>9</v>
      </c>
      <c r="E152" t="s">
        <v>42</v>
      </c>
      <c r="F152" t="s">
        <v>33</v>
      </c>
      <c r="G152" t="s">
        <v>14</v>
      </c>
      <c r="H152" t="s">
        <v>20</v>
      </c>
      <c r="I152">
        <v>10</v>
      </c>
      <c r="J152" s="2">
        <v>1861.09</v>
      </c>
      <c r="K152" s="2">
        <v>1136.3399999999999</v>
      </c>
      <c r="L152" s="2">
        <f t="shared" si="5"/>
        <v>724.75</v>
      </c>
      <c r="M152" t="s">
        <v>21</v>
      </c>
    </row>
    <row r="153" spans="1:13" x14ac:dyDescent="0.3">
      <c r="A153" t="s">
        <v>180</v>
      </c>
      <c r="B153" s="1">
        <v>45637</v>
      </c>
      <c r="C153" s="1">
        <v>45646</v>
      </c>
      <c r="D153" s="6">
        <f t="shared" si="4"/>
        <v>9</v>
      </c>
      <c r="E153" t="s">
        <v>12</v>
      </c>
      <c r="F153" t="s">
        <v>27</v>
      </c>
      <c r="G153" t="s">
        <v>14</v>
      </c>
      <c r="H153" t="s">
        <v>15</v>
      </c>
      <c r="I153">
        <v>6</v>
      </c>
      <c r="J153" s="2">
        <v>478.31</v>
      </c>
      <c r="K153" s="2">
        <v>362.24</v>
      </c>
      <c r="L153" s="2">
        <f t="shared" si="5"/>
        <v>116.07</v>
      </c>
      <c r="M153" t="s">
        <v>29</v>
      </c>
    </row>
    <row r="154" spans="1:13" x14ac:dyDescent="0.3">
      <c r="A154" t="s">
        <v>181</v>
      </c>
      <c r="B154" s="1">
        <v>45427</v>
      </c>
      <c r="C154" s="1">
        <v>45434</v>
      </c>
      <c r="D154" s="6">
        <f t="shared" si="4"/>
        <v>7</v>
      </c>
      <c r="E154" t="s">
        <v>12</v>
      </c>
      <c r="F154" t="s">
        <v>27</v>
      </c>
      <c r="G154" t="s">
        <v>14</v>
      </c>
      <c r="H154" t="s">
        <v>40</v>
      </c>
      <c r="I154">
        <v>3</v>
      </c>
      <c r="J154" s="2">
        <v>1198.94</v>
      </c>
      <c r="K154" s="2">
        <v>838.62</v>
      </c>
      <c r="L154" s="2">
        <f t="shared" si="5"/>
        <v>360.32000000000005</v>
      </c>
      <c r="M154" t="s">
        <v>21</v>
      </c>
    </row>
    <row r="155" spans="1:13" x14ac:dyDescent="0.3">
      <c r="A155" t="s">
        <v>182</v>
      </c>
      <c r="B155" s="1">
        <v>45511</v>
      </c>
      <c r="C155" s="1">
        <v>45516</v>
      </c>
      <c r="D155" s="6">
        <f t="shared" si="4"/>
        <v>5</v>
      </c>
      <c r="E155" t="s">
        <v>23</v>
      </c>
      <c r="F155" t="s">
        <v>24</v>
      </c>
      <c r="G155" t="s">
        <v>14</v>
      </c>
      <c r="H155" t="s">
        <v>15</v>
      </c>
      <c r="I155">
        <v>9</v>
      </c>
      <c r="J155" s="2">
        <v>1120.22</v>
      </c>
      <c r="K155" s="2">
        <v>806.27</v>
      </c>
      <c r="L155" s="2">
        <f t="shared" si="5"/>
        <v>313.95000000000005</v>
      </c>
      <c r="M155" t="s">
        <v>21</v>
      </c>
    </row>
    <row r="156" spans="1:13" x14ac:dyDescent="0.3">
      <c r="A156" t="s">
        <v>183</v>
      </c>
      <c r="B156" s="1">
        <v>45379</v>
      </c>
      <c r="C156" s="1">
        <v>45385</v>
      </c>
      <c r="D156" s="6">
        <f t="shared" si="4"/>
        <v>6</v>
      </c>
      <c r="E156" t="s">
        <v>42</v>
      </c>
      <c r="F156" t="s">
        <v>27</v>
      </c>
      <c r="G156" t="s">
        <v>14</v>
      </c>
      <c r="H156" t="s">
        <v>40</v>
      </c>
      <c r="I156">
        <v>5</v>
      </c>
      <c r="J156" s="2">
        <v>1815.7</v>
      </c>
      <c r="K156" s="2">
        <v>1452.91</v>
      </c>
      <c r="L156" s="2">
        <f t="shared" si="5"/>
        <v>362.78999999999996</v>
      </c>
      <c r="M156" t="s">
        <v>16</v>
      </c>
    </row>
    <row r="157" spans="1:13" x14ac:dyDescent="0.3">
      <c r="A157" t="s">
        <v>184</v>
      </c>
      <c r="B157" s="1">
        <v>45352</v>
      </c>
      <c r="C157" s="1">
        <v>45361</v>
      </c>
      <c r="D157" s="6">
        <f t="shared" si="4"/>
        <v>9</v>
      </c>
      <c r="E157" t="s">
        <v>18</v>
      </c>
      <c r="F157" t="s">
        <v>13</v>
      </c>
      <c r="G157" t="s">
        <v>19</v>
      </c>
      <c r="H157" t="s">
        <v>20</v>
      </c>
      <c r="I157">
        <v>8</v>
      </c>
      <c r="J157" s="2">
        <v>913.03</v>
      </c>
      <c r="K157" s="2">
        <v>650.96</v>
      </c>
      <c r="L157" s="2">
        <f t="shared" si="5"/>
        <v>262.06999999999994</v>
      </c>
      <c r="M157" t="s">
        <v>21</v>
      </c>
    </row>
    <row r="158" spans="1:13" x14ac:dyDescent="0.3">
      <c r="A158" t="s">
        <v>185</v>
      </c>
      <c r="B158" s="1">
        <v>45566</v>
      </c>
      <c r="C158" s="1">
        <v>45570</v>
      </c>
      <c r="D158" s="6">
        <f t="shared" si="4"/>
        <v>4</v>
      </c>
      <c r="E158" t="s">
        <v>23</v>
      </c>
      <c r="F158" t="s">
        <v>31</v>
      </c>
      <c r="G158" t="s">
        <v>14</v>
      </c>
      <c r="H158" t="s">
        <v>15</v>
      </c>
      <c r="I158">
        <v>1</v>
      </c>
      <c r="J158" s="2">
        <v>648.4</v>
      </c>
      <c r="K158" s="2">
        <v>444.03</v>
      </c>
      <c r="L158" s="2">
        <f t="shared" si="5"/>
        <v>204.37</v>
      </c>
      <c r="M158" t="s">
        <v>21</v>
      </c>
    </row>
    <row r="159" spans="1:13" x14ac:dyDescent="0.3">
      <c r="A159" t="s">
        <v>186</v>
      </c>
      <c r="B159" s="1">
        <v>45586</v>
      </c>
      <c r="C159" s="1">
        <v>45590</v>
      </c>
      <c r="D159" s="6">
        <f t="shared" si="4"/>
        <v>4</v>
      </c>
      <c r="E159" t="s">
        <v>23</v>
      </c>
      <c r="F159" t="s">
        <v>24</v>
      </c>
      <c r="G159" t="s">
        <v>14</v>
      </c>
      <c r="H159" t="s">
        <v>25</v>
      </c>
      <c r="I159">
        <v>2</v>
      </c>
      <c r="J159" s="2">
        <v>716.47</v>
      </c>
      <c r="K159" s="2">
        <v>466.25</v>
      </c>
      <c r="L159" s="2">
        <f t="shared" si="5"/>
        <v>250.22000000000003</v>
      </c>
      <c r="M159" t="s">
        <v>16</v>
      </c>
    </row>
    <row r="160" spans="1:13" x14ac:dyDescent="0.3">
      <c r="A160" t="s">
        <v>187</v>
      </c>
      <c r="B160" s="1">
        <v>45340</v>
      </c>
      <c r="C160" s="1">
        <v>45350</v>
      </c>
      <c r="D160" s="6">
        <f t="shared" si="4"/>
        <v>10</v>
      </c>
      <c r="E160" t="s">
        <v>23</v>
      </c>
      <c r="F160" t="s">
        <v>31</v>
      </c>
      <c r="G160" t="s">
        <v>19</v>
      </c>
      <c r="H160" t="s">
        <v>15</v>
      </c>
      <c r="I160">
        <v>10</v>
      </c>
      <c r="J160" s="2">
        <v>428.05</v>
      </c>
      <c r="K160" s="2">
        <v>307.88</v>
      </c>
      <c r="L160" s="2">
        <f t="shared" si="5"/>
        <v>120.17000000000002</v>
      </c>
      <c r="M160" t="s">
        <v>29</v>
      </c>
    </row>
    <row r="161" spans="1:13" x14ac:dyDescent="0.3">
      <c r="A161" t="s">
        <v>188</v>
      </c>
      <c r="B161" s="1">
        <v>45461</v>
      </c>
      <c r="C161" s="1">
        <v>45469</v>
      </c>
      <c r="D161" s="6">
        <f t="shared" si="4"/>
        <v>8</v>
      </c>
      <c r="E161" t="s">
        <v>18</v>
      </c>
      <c r="F161" t="s">
        <v>31</v>
      </c>
      <c r="G161" t="s">
        <v>14</v>
      </c>
      <c r="H161" t="s">
        <v>20</v>
      </c>
      <c r="I161">
        <v>4</v>
      </c>
      <c r="J161" s="2">
        <v>659.01</v>
      </c>
      <c r="K161" s="2">
        <v>481.28</v>
      </c>
      <c r="L161" s="2">
        <f t="shared" si="5"/>
        <v>177.73000000000002</v>
      </c>
      <c r="M161" t="s">
        <v>16</v>
      </c>
    </row>
    <row r="162" spans="1:13" x14ac:dyDescent="0.3">
      <c r="A162" t="s">
        <v>189</v>
      </c>
      <c r="B162" s="1">
        <v>45617</v>
      </c>
      <c r="C162" s="1">
        <v>45627</v>
      </c>
      <c r="D162" s="6">
        <f t="shared" si="4"/>
        <v>10</v>
      </c>
      <c r="E162" t="s">
        <v>12</v>
      </c>
      <c r="F162" t="s">
        <v>13</v>
      </c>
      <c r="G162" t="s">
        <v>14</v>
      </c>
      <c r="H162" t="s">
        <v>20</v>
      </c>
      <c r="I162">
        <v>3</v>
      </c>
      <c r="J162" s="2">
        <v>373.32</v>
      </c>
      <c r="K162" s="2">
        <v>302.83</v>
      </c>
      <c r="L162" s="2">
        <f t="shared" si="5"/>
        <v>70.490000000000009</v>
      </c>
      <c r="M162" t="s">
        <v>29</v>
      </c>
    </row>
    <row r="163" spans="1:13" x14ac:dyDescent="0.3">
      <c r="A163" t="s">
        <v>190</v>
      </c>
      <c r="B163" s="1">
        <v>45511</v>
      </c>
      <c r="C163" s="1">
        <v>45515</v>
      </c>
      <c r="D163" s="6">
        <f t="shared" si="4"/>
        <v>4</v>
      </c>
      <c r="E163" t="s">
        <v>42</v>
      </c>
      <c r="F163" t="s">
        <v>24</v>
      </c>
      <c r="G163" t="s">
        <v>19</v>
      </c>
      <c r="H163" t="s">
        <v>25</v>
      </c>
      <c r="I163">
        <v>8</v>
      </c>
      <c r="J163" s="2">
        <v>330.76</v>
      </c>
      <c r="K163" s="2">
        <v>206.78</v>
      </c>
      <c r="L163" s="2">
        <f t="shared" si="5"/>
        <v>123.97999999999999</v>
      </c>
      <c r="M163" t="s">
        <v>29</v>
      </c>
    </row>
    <row r="164" spans="1:13" x14ac:dyDescent="0.3">
      <c r="A164" t="s">
        <v>191</v>
      </c>
      <c r="B164" s="1">
        <v>45392</v>
      </c>
      <c r="C164" s="1">
        <v>45396</v>
      </c>
      <c r="D164" s="6">
        <f t="shared" si="4"/>
        <v>4</v>
      </c>
      <c r="E164" t="s">
        <v>42</v>
      </c>
      <c r="F164" t="s">
        <v>24</v>
      </c>
      <c r="G164" t="s">
        <v>19</v>
      </c>
      <c r="H164" t="s">
        <v>20</v>
      </c>
      <c r="I164">
        <v>1</v>
      </c>
      <c r="J164" s="2">
        <v>734.79</v>
      </c>
      <c r="K164" s="2">
        <v>603.19000000000005</v>
      </c>
      <c r="L164" s="2">
        <f t="shared" si="5"/>
        <v>131.59999999999991</v>
      </c>
      <c r="M164" t="s">
        <v>21</v>
      </c>
    </row>
    <row r="165" spans="1:13" x14ac:dyDescent="0.3">
      <c r="A165" t="s">
        <v>192</v>
      </c>
      <c r="B165" s="1">
        <v>45582</v>
      </c>
      <c r="C165" s="1">
        <v>45592</v>
      </c>
      <c r="D165" s="6">
        <f t="shared" si="4"/>
        <v>10</v>
      </c>
      <c r="E165" t="s">
        <v>42</v>
      </c>
      <c r="F165" t="s">
        <v>27</v>
      </c>
      <c r="G165" t="s">
        <v>14</v>
      </c>
      <c r="H165" t="s">
        <v>40</v>
      </c>
      <c r="I165">
        <v>5</v>
      </c>
      <c r="J165" s="2">
        <v>791.56</v>
      </c>
      <c r="K165" s="2">
        <v>669.56</v>
      </c>
      <c r="L165" s="2">
        <f t="shared" si="5"/>
        <v>122</v>
      </c>
      <c r="M165" t="s">
        <v>16</v>
      </c>
    </row>
    <row r="166" spans="1:13" x14ac:dyDescent="0.3">
      <c r="A166" t="s">
        <v>193</v>
      </c>
      <c r="B166" s="1">
        <v>45353</v>
      </c>
      <c r="C166" s="1">
        <v>45363</v>
      </c>
      <c r="D166" s="6">
        <f t="shared" si="4"/>
        <v>10</v>
      </c>
      <c r="E166" t="s">
        <v>23</v>
      </c>
      <c r="F166" t="s">
        <v>27</v>
      </c>
      <c r="G166" t="s">
        <v>19</v>
      </c>
      <c r="H166" t="s">
        <v>40</v>
      </c>
      <c r="I166">
        <v>4</v>
      </c>
      <c r="J166" s="2">
        <v>118.25</v>
      </c>
      <c r="K166" s="2">
        <v>89.4</v>
      </c>
      <c r="L166" s="2">
        <f t="shared" si="5"/>
        <v>28.849999999999994</v>
      </c>
      <c r="M166" t="s">
        <v>21</v>
      </c>
    </row>
    <row r="167" spans="1:13" x14ac:dyDescent="0.3">
      <c r="A167" t="s">
        <v>194</v>
      </c>
      <c r="B167" s="1">
        <v>45487</v>
      </c>
      <c r="C167" s="1">
        <v>45496</v>
      </c>
      <c r="D167" s="6">
        <f t="shared" si="4"/>
        <v>9</v>
      </c>
      <c r="E167" t="s">
        <v>18</v>
      </c>
      <c r="F167" t="s">
        <v>33</v>
      </c>
      <c r="G167" t="s">
        <v>19</v>
      </c>
      <c r="H167" t="s">
        <v>40</v>
      </c>
      <c r="I167">
        <v>7</v>
      </c>
      <c r="J167" s="2">
        <v>1444.59</v>
      </c>
      <c r="K167" s="2">
        <v>1051.8800000000001</v>
      </c>
      <c r="L167" s="2">
        <f t="shared" si="5"/>
        <v>392.70999999999981</v>
      </c>
      <c r="M167" t="s">
        <v>21</v>
      </c>
    </row>
    <row r="168" spans="1:13" x14ac:dyDescent="0.3">
      <c r="A168" t="s">
        <v>195</v>
      </c>
      <c r="B168" s="1">
        <v>45375</v>
      </c>
      <c r="C168" s="1">
        <v>45377</v>
      </c>
      <c r="D168" s="6">
        <f t="shared" si="4"/>
        <v>2</v>
      </c>
      <c r="E168" t="s">
        <v>12</v>
      </c>
      <c r="F168" t="s">
        <v>31</v>
      </c>
      <c r="G168" t="s">
        <v>14</v>
      </c>
      <c r="H168" t="s">
        <v>20</v>
      </c>
      <c r="I168">
        <v>1</v>
      </c>
      <c r="J168" s="2">
        <v>516.79</v>
      </c>
      <c r="K168" s="2">
        <v>311.42</v>
      </c>
      <c r="L168" s="2">
        <f t="shared" si="5"/>
        <v>205.36999999999995</v>
      </c>
      <c r="M168" t="s">
        <v>16</v>
      </c>
    </row>
    <row r="169" spans="1:13" x14ac:dyDescent="0.3">
      <c r="A169" t="s">
        <v>196</v>
      </c>
      <c r="B169" s="1">
        <v>45491</v>
      </c>
      <c r="C169" s="1">
        <v>45500</v>
      </c>
      <c r="D169" s="6">
        <f t="shared" si="4"/>
        <v>9</v>
      </c>
      <c r="E169" t="s">
        <v>18</v>
      </c>
      <c r="F169" t="s">
        <v>13</v>
      </c>
      <c r="G169" t="s">
        <v>19</v>
      </c>
      <c r="H169" t="s">
        <v>40</v>
      </c>
      <c r="I169">
        <v>6</v>
      </c>
      <c r="J169" s="2">
        <v>387.15</v>
      </c>
      <c r="K169" s="2">
        <v>283.75</v>
      </c>
      <c r="L169" s="2">
        <f t="shared" si="5"/>
        <v>103.39999999999998</v>
      </c>
      <c r="M169" t="s">
        <v>21</v>
      </c>
    </row>
    <row r="170" spans="1:13" x14ac:dyDescent="0.3">
      <c r="A170" t="s">
        <v>197</v>
      </c>
      <c r="B170" s="1">
        <v>45303</v>
      </c>
      <c r="C170" s="1">
        <v>45308</v>
      </c>
      <c r="D170" s="6">
        <f t="shared" si="4"/>
        <v>5</v>
      </c>
      <c r="E170" t="s">
        <v>42</v>
      </c>
      <c r="F170" t="s">
        <v>13</v>
      </c>
      <c r="G170" t="s">
        <v>19</v>
      </c>
      <c r="H170" t="s">
        <v>40</v>
      </c>
      <c r="I170">
        <v>3</v>
      </c>
      <c r="J170" s="2">
        <v>780.05</v>
      </c>
      <c r="K170" s="2">
        <v>554.71</v>
      </c>
      <c r="L170" s="2">
        <f t="shared" si="5"/>
        <v>225.33999999999992</v>
      </c>
      <c r="M170" t="s">
        <v>29</v>
      </c>
    </row>
    <row r="171" spans="1:13" x14ac:dyDescent="0.3">
      <c r="A171" t="s">
        <v>198</v>
      </c>
      <c r="B171" s="1">
        <v>45517</v>
      </c>
      <c r="C171" s="1">
        <v>45521</v>
      </c>
      <c r="D171" s="6">
        <f t="shared" si="4"/>
        <v>4</v>
      </c>
      <c r="E171" t="s">
        <v>23</v>
      </c>
      <c r="F171" t="s">
        <v>24</v>
      </c>
      <c r="G171" t="s">
        <v>14</v>
      </c>
      <c r="H171" t="s">
        <v>15</v>
      </c>
      <c r="I171">
        <v>2</v>
      </c>
      <c r="J171" s="2">
        <v>1480.08</v>
      </c>
      <c r="K171" s="2">
        <v>1085.3399999999999</v>
      </c>
      <c r="L171" s="2">
        <f t="shared" si="5"/>
        <v>394.74</v>
      </c>
      <c r="M171" t="s">
        <v>21</v>
      </c>
    </row>
    <row r="172" spans="1:13" x14ac:dyDescent="0.3">
      <c r="A172" t="s">
        <v>199</v>
      </c>
      <c r="B172" s="1">
        <v>45611</v>
      </c>
      <c r="C172" s="1">
        <v>45613</v>
      </c>
      <c r="D172" s="6">
        <f t="shared" si="4"/>
        <v>2</v>
      </c>
      <c r="E172" t="s">
        <v>23</v>
      </c>
      <c r="F172" t="s">
        <v>13</v>
      </c>
      <c r="G172" t="s">
        <v>14</v>
      </c>
      <c r="H172" t="s">
        <v>20</v>
      </c>
      <c r="I172">
        <v>4</v>
      </c>
      <c r="J172" s="2">
        <v>1428.37</v>
      </c>
      <c r="K172" s="2">
        <v>1077.1199999999999</v>
      </c>
      <c r="L172" s="2">
        <f t="shared" si="5"/>
        <v>351.25</v>
      </c>
      <c r="M172" t="s">
        <v>29</v>
      </c>
    </row>
    <row r="173" spans="1:13" x14ac:dyDescent="0.3">
      <c r="A173" t="s">
        <v>200</v>
      </c>
      <c r="B173" s="1">
        <v>45518</v>
      </c>
      <c r="C173" s="1">
        <v>45528</v>
      </c>
      <c r="D173" s="6">
        <f t="shared" si="4"/>
        <v>10</v>
      </c>
      <c r="E173" t="s">
        <v>23</v>
      </c>
      <c r="F173" t="s">
        <v>27</v>
      </c>
      <c r="G173" t="s">
        <v>14</v>
      </c>
      <c r="H173" t="s">
        <v>25</v>
      </c>
      <c r="I173">
        <v>5</v>
      </c>
      <c r="J173" s="2">
        <v>884.18</v>
      </c>
      <c r="K173" s="2">
        <v>642.29999999999995</v>
      </c>
      <c r="L173" s="2">
        <f t="shared" si="5"/>
        <v>241.88</v>
      </c>
      <c r="M173" t="s">
        <v>21</v>
      </c>
    </row>
    <row r="174" spans="1:13" x14ac:dyDescent="0.3">
      <c r="A174" t="s">
        <v>201</v>
      </c>
      <c r="B174" s="1">
        <v>45552</v>
      </c>
      <c r="C174" s="1">
        <v>45557</v>
      </c>
      <c r="D174" s="6">
        <f t="shared" si="4"/>
        <v>5</v>
      </c>
      <c r="E174" t="s">
        <v>42</v>
      </c>
      <c r="F174" t="s">
        <v>33</v>
      </c>
      <c r="G174" t="s">
        <v>14</v>
      </c>
      <c r="H174" t="s">
        <v>25</v>
      </c>
      <c r="I174">
        <v>10</v>
      </c>
      <c r="J174" s="2">
        <v>1594.72</v>
      </c>
      <c r="K174" s="2">
        <v>1136.25</v>
      </c>
      <c r="L174" s="2">
        <f t="shared" si="5"/>
        <v>458.47</v>
      </c>
      <c r="M174" t="s">
        <v>21</v>
      </c>
    </row>
    <row r="175" spans="1:13" x14ac:dyDescent="0.3">
      <c r="A175" t="s">
        <v>202</v>
      </c>
      <c r="B175" s="1">
        <v>45351</v>
      </c>
      <c r="C175" s="1">
        <v>45360</v>
      </c>
      <c r="D175" s="6">
        <f t="shared" si="4"/>
        <v>9</v>
      </c>
      <c r="E175" t="s">
        <v>42</v>
      </c>
      <c r="F175" t="s">
        <v>24</v>
      </c>
      <c r="G175" t="s">
        <v>19</v>
      </c>
      <c r="H175" t="s">
        <v>20</v>
      </c>
      <c r="I175">
        <v>2</v>
      </c>
      <c r="J175" s="2">
        <v>484.09</v>
      </c>
      <c r="K175" s="2">
        <v>361.42</v>
      </c>
      <c r="L175" s="2">
        <f t="shared" si="5"/>
        <v>122.66999999999996</v>
      </c>
      <c r="M175" t="s">
        <v>29</v>
      </c>
    </row>
    <row r="176" spans="1:13" x14ac:dyDescent="0.3">
      <c r="A176" t="s">
        <v>203</v>
      </c>
      <c r="B176" s="1">
        <v>45589</v>
      </c>
      <c r="C176" s="1">
        <v>45593</v>
      </c>
      <c r="D176" s="6">
        <f t="shared" si="4"/>
        <v>4</v>
      </c>
      <c r="E176" t="s">
        <v>12</v>
      </c>
      <c r="F176" t="s">
        <v>31</v>
      </c>
      <c r="G176" t="s">
        <v>14</v>
      </c>
      <c r="H176" t="s">
        <v>25</v>
      </c>
      <c r="I176">
        <v>1</v>
      </c>
      <c r="J176" s="2">
        <v>469</v>
      </c>
      <c r="K176" s="2">
        <v>367.18</v>
      </c>
      <c r="L176" s="2">
        <f t="shared" si="5"/>
        <v>101.82</v>
      </c>
      <c r="M176" t="s">
        <v>21</v>
      </c>
    </row>
    <row r="177" spans="1:13" x14ac:dyDescent="0.3">
      <c r="A177" t="s">
        <v>204</v>
      </c>
      <c r="B177" s="1">
        <v>45366</v>
      </c>
      <c r="C177" s="1">
        <v>45369</v>
      </c>
      <c r="D177" s="6">
        <f t="shared" si="4"/>
        <v>3</v>
      </c>
      <c r="E177" t="s">
        <v>23</v>
      </c>
      <c r="F177" t="s">
        <v>13</v>
      </c>
      <c r="G177" t="s">
        <v>14</v>
      </c>
      <c r="H177" t="s">
        <v>25</v>
      </c>
      <c r="I177">
        <v>1</v>
      </c>
      <c r="J177" s="2">
        <v>1571.67</v>
      </c>
      <c r="K177" s="2">
        <v>1289.04</v>
      </c>
      <c r="L177" s="2">
        <f t="shared" si="5"/>
        <v>282.63000000000011</v>
      </c>
      <c r="M177" t="s">
        <v>29</v>
      </c>
    </row>
    <row r="178" spans="1:13" x14ac:dyDescent="0.3">
      <c r="A178" t="s">
        <v>205</v>
      </c>
      <c r="B178" s="1">
        <v>45491</v>
      </c>
      <c r="C178" s="1">
        <v>45500</v>
      </c>
      <c r="D178" s="6">
        <f t="shared" si="4"/>
        <v>9</v>
      </c>
      <c r="E178" t="s">
        <v>12</v>
      </c>
      <c r="F178" t="s">
        <v>31</v>
      </c>
      <c r="G178" t="s">
        <v>19</v>
      </c>
      <c r="H178" t="s">
        <v>20</v>
      </c>
      <c r="I178">
        <v>7</v>
      </c>
      <c r="J178" s="2">
        <v>1761.64</v>
      </c>
      <c r="K178" s="2">
        <v>1283.57</v>
      </c>
      <c r="L178" s="2">
        <f t="shared" si="5"/>
        <v>478.07000000000016</v>
      </c>
      <c r="M178" t="s">
        <v>29</v>
      </c>
    </row>
    <row r="179" spans="1:13" x14ac:dyDescent="0.3">
      <c r="A179" t="s">
        <v>206</v>
      </c>
      <c r="B179" s="1">
        <v>45346</v>
      </c>
      <c r="C179" s="1">
        <v>45354</v>
      </c>
      <c r="D179" s="6">
        <f t="shared" si="4"/>
        <v>8</v>
      </c>
      <c r="E179" t="s">
        <v>18</v>
      </c>
      <c r="F179" t="s">
        <v>27</v>
      </c>
      <c r="G179" t="s">
        <v>14</v>
      </c>
      <c r="H179" t="s">
        <v>40</v>
      </c>
      <c r="I179">
        <v>1</v>
      </c>
      <c r="J179" s="2">
        <v>1683.87</v>
      </c>
      <c r="K179" s="2">
        <v>1013.31</v>
      </c>
      <c r="L179" s="2">
        <f t="shared" si="5"/>
        <v>670.56</v>
      </c>
      <c r="M179" t="s">
        <v>21</v>
      </c>
    </row>
    <row r="180" spans="1:13" x14ac:dyDescent="0.3">
      <c r="A180" t="s">
        <v>207</v>
      </c>
      <c r="B180" s="1">
        <v>45614</v>
      </c>
      <c r="C180" s="1">
        <v>45622</v>
      </c>
      <c r="D180" s="6">
        <f t="shared" si="4"/>
        <v>8</v>
      </c>
      <c r="E180" t="s">
        <v>12</v>
      </c>
      <c r="F180" t="s">
        <v>13</v>
      </c>
      <c r="G180" t="s">
        <v>14</v>
      </c>
      <c r="H180" t="s">
        <v>40</v>
      </c>
      <c r="I180">
        <v>4</v>
      </c>
      <c r="J180" s="2">
        <v>923.34</v>
      </c>
      <c r="K180" s="2">
        <v>576.30999999999995</v>
      </c>
      <c r="L180" s="2">
        <f t="shared" si="5"/>
        <v>347.03000000000009</v>
      </c>
      <c r="M180" t="s">
        <v>29</v>
      </c>
    </row>
    <row r="181" spans="1:13" x14ac:dyDescent="0.3">
      <c r="A181" t="s">
        <v>208</v>
      </c>
      <c r="B181" s="1">
        <v>45427</v>
      </c>
      <c r="C181" s="1">
        <v>45434</v>
      </c>
      <c r="D181" s="6">
        <f t="shared" si="4"/>
        <v>7</v>
      </c>
      <c r="E181" t="s">
        <v>42</v>
      </c>
      <c r="F181" t="s">
        <v>33</v>
      </c>
      <c r="G181" t="s">
        <v>19</v>
      </c>
      <c r="H181" t="s">
        <v>40</v>
      </c>
      <c r="I181">
        <v>7</v>
      </c>
      <c r="J181" s="2">
        <v>1094.08</v>
      </c>
      <c r="K181" s="2">
        <v>671.21</v>
      </c>
      <c r="L181" s="2">
        <f t="shared" si="5"/>
        <v>422.86999999999989</v>
      </c>
      <c r="M181" t="s">
        <v>16</v>
      </c>
    </row>
    <row r="182" spans="1:13" x14ac:dyDescent="0.3">
      <c r="A182" t="s">
        <v>209</v>
      </c>
      <c r="B182" s="1">
        <v>45605</v>
      </c>
      <c r="C182" s="1">
        <v>45611</v>
      </c>
      <c r="D182" s="6">
        <f t="shared" si="4"/>
        <v>6</v>
      </c>
      <c r="E182" t="s">
        <v>42</v>
      </c>
      <c r="F182" t="s">
        <v>27</v>
      </c>
      <c r="G182" t="s">
        <v>19</v>
      </c>
      <c r="H182" t="s">
        <v>15</v>
      </c>
      <c r="I182">
        <v>4</v>
      </c>
      <c r="J182" s="2">
        <v>185.51</v>
      </c>
      <c r="K182" s="2">
        <v>134.91999999999999</v>
      </c>
      <c r="L182" s="2">
        <f t="shared" si="5"/>
        <v>50.59</v>
      </c>
      <c r="M182" t="s">
        <v>21</v>
      </c>
    </row>
    <row r="183" spans="1:13" x14ac:dyDescent="0.3">
      <c r="A183" t="s">
        <v>210</v>
      </c>
      <c r="B183" s="1">
        <v>45520</v>
      </c>
      <c r="C183" s="1">
        <v>45526</v>
      </c>
      <c r="D183" s="6">
        <f t="shared" si="4"/>
        <v>6</v>
      </c>
      <c r="E183" t="s">
        <v>12</v>
      </c>
      <c r="F183" t="s">
        <v>31</v>
      </c>
      <c r="G183" t="s">
        <v>14</v>
      </c>
      <c r="H183" t="s">
        <v>20</v>
      </c>
      <c r="I183">
        <v>2</v>
      </c>
      <c r="J183" s="2">
        <v>1930.34</v>
      </c>
      <c r="K183" s="2">
        <v>1368.66</v>
      </c>
      <c r="L183" s="2">
        <f t="shared" si="5"/>
        <v>561.67999999999984</v>
      </c>
      <c r="M183" t="s">
        <v>16</v>
      </c>
    </row>
    <row r="184" spans="1:13" x14ac:dyDescent="0.3">
      <c r="A184" t="s">
        <v>211</v>
      </c>
      <c r="B184" s="1">
        <v>45454</v>
      </c>
      <c r="C184" s="1">
        <v>45462</v>
      </c>
      <c r="D184" s="6">
        <f t="shared" si="4"/>
        <v>8</v>
      </c>
      <c r="E184" t="s">
        <v>12</v>
      </c>
      <c r="F184" t="s">
        <v>33</v>
      </c>
      <c r="G184" t="s">
        <v>14</v>
      </c>
      <c r="H184" t="s">
        <v>20</v>
      </c>
      <c r="I184">
        <v>9</v>
      </c>
      <c r="J184" s="2">
        <v>288.29000000000002</v>
      </c>
      <c r="K184" s="2">
        <v>184.86</v>
      </c>
      <c r="L184" s="2">
        <f t="shared" si="5"/>
        <v>103.43</v>
      </c>
      <c r="M184" t="s">
        <v>29</v>
      </c>
    </row>
    <row r="185" spans="1:13" x14ac:dyDescent="0.3">
      <c r="A185" t="s">
        <v>212</v>
      </c>
      <c r="B185" s="1">
        <v>45560</v>
      </c>
      <c r="C185" s="1">
        <v>45566</v>
      </c>
      <c r="D185" s="6">
        <f t="shared" si="4"/>
        <v>6</v>
      </c>
      <c r="E185" t="s">
        <v>12</v>
      </c>
      <c r="F185" t="s">
        <v>31</v>
      </c>
      <c r="G185" t="s">
        <v>14</v>
      </c>
      <c r="H185" t="s">
        <v>25</v>
      </c>
      <c r="I185">
        <v>8</v>
      </c>
      <c r="J185" s="2">
        <v>955.79</v>
      </c>
      <c r="K185" s="2">
        <v>598.86</v>
      </c>
      <c r="L185" s="2">
        <f t="shared" si="5"/>
        <v>356.92999999999995</v>
      </c>
      <c r="M185" t="s">
        <v>16</v>
      </c>
    </row>
    <row r="186" spans="1:13" x14ac:dyDescent="0.3">
      <c r="A186" t="s">
        <v>213</v>
      </c>
      <c r="B186" s="1">
        <v>45484</v>
      </c>
      <c r="C186" s="1">
        <v>45489</v>
      </c>
      <c r="D186" s="6">
        <f t="shared" si="4"/>
        <v>5</v>
      </c>
      <c r="E186" t="s">
        <v>23</v>
      </c>
      <c r="F186" t="s">
        <v>24</v>
      </c>
      <c r="G186" t="s">
        <v>14</v>
      </c>
      <c r="H186" t="s">
        <v>20</v>
      </c>
      <c r="I186">
        <v>3</v>
      </c>
      <c r="J186" s="2">
        <v>1820.4</v>
      </c>
      <c r="K186" s="2">
        <v>1145.79</v>
      </c>
      <c r="L186" s="2">
        <f t="shared" si="5"/>
        <v>674.61000000000013</v>
      </c>
      <c r="M186" t="s">
        <v>16</v>
      </c>
    </row>
    <row r="187" spans="1:13" x14ac:dyDescent="0.3">
      <c r="A187" t="s">
        <v>214</v>
      </c>
      <c r="B187" s="1">
        <v>45629</v>
      </c>
      <c r="C187" s="1">
        <v>45633</v>
      </c>
      <c r="D187" s="6">
        <f t="shared" si="4"/>
        <v>4</v>
      </c>
      <c r="E187" t="s">
        <v>23</v>
      </c>
      <c r="F187" t="s">
        <v>27</v>
      </c>
      <c r="G187" t="s">
        <v>14</v>
      </c>
      <c r="H187" t="s">
        <v>20</v>
      </c>
      <c r="I187">
        <v>6</v>
      </c>
      <c r="J187" s="2">
        <v>1741.48</v>
      </c>
      <c r="K187" s="2">
        <v>1252.3599999999999</v>
      </c>
      <c r="L187" s="2">
        <f t="shared" si="5"/>
        <v>489.12000000000012</v>
      </c>
      <c r="M187" t="s">
        <v>16</v>
      </c>
    </row>
    <row r="188" spans="1:13" x14ac:dyDescent="0.3">
      <c r="A188" t="s">
        <v>215</v>
      </c>
      <c r="B188" s="1">
        <v>45439</v>
      </c>
      <c r="C188" s="1">
        <v>45441</v>
      </c>
      <c r="D188" s="6">
        <f t="shared" si="4"/>
        <v>2</v>
      </c>
      <c r="E188" t="s">
        <v>23</v>
      </c>
      <c r="F188" t="s">
        <v>33</v>
      </c>
      <c r="G188" t="s">
        <v>14</v>
      </c>
      <c r="H188" t="s">
        <v>15</v>
      </c>
      <c r="I188">
        <v>3</v>
      </c>
      <c r="J188" s="2">
        <v>716.67</v>
      </c>
      <c r="K188" s="2">
        <v>599.17999999999995</v>
      </c>
      <c r="L188" s="2">
        <f t="shared" si="5"/>
        <v>117.49000000000001</v>
      </c>
      <c r="M188" t="s">
        <v>29</v>
      </c>
    </row>
    <row r="189" spans="1:13" x14ac:dyDescent="0.3">
      <c r="A189" t="s">
        <v>216</v>
      </c>
      <c r="B189" s="1">
        <v>45344</v>
      </c>
      <c r="C189" s="1">
        <v>45346</v>
      </c>
      <c r="D189" s="6">
        <f t="shared" si="4"/>
        <v>2</v>
      </c>
      <c r="E189" t="s">
        <v>42</v>
      </c>
      <c r="F189" t="s">
        <v>33</v>
      </c>
      <c r="G189" t="s">
        <v>19</v>
      </c>
      <c r="H189" t="s">
        <v>25</v>
      </c>
      <c r="I189">
        <v>5</v>
      </c>
      <c r="J189" s="2">
        <v>562.19000000000005</v>
      </c>
      <c r="K189" s="2">
        <v>457.19</v>
      </c>
      <c r="L189" s="2">
        <f t="shared" si="5"/>
        <v>105.00000000000006</v>
      </c>
      <c r="M189" t="s">
        <v>29</v>
      </c>
    </row>
    <row r="190" spans="1:13" x14ac:dyDescent="0.3">
      <c r="A190" t="s">
        <v>217</v>
      </c>
      <c r="B190" s="1">
        <v>45569</v>
      </c>
      <c r="C190" s="1">
        <v>45578</v>
      </c>
      <c r="D190" s="6">
        <f t="shared" si="4"/>
        <v>9</v>
      </c>
      <c r="E190" t="s">
        <v>42</v>
      </c>
      <c r="F190" t="s">
        <v>13</v>
      </c>
      <c r="G190" t="s">
        <v>19</v>
      </c>
      <c r="H190" t="s">
        <v>15</v>
      </c>
      <c r="I190">
        <v>8</v>
      </c>
      <c r="J190" s="2">
        <v>121.83</v>
      </c>
      <c r="K190" s="2">
        <v>75.37</v>
      </c>
      <c r="L190" s="2">
        <f t="shared" si="5"/>
        <v>46.459999999999994</v>
      </c>
      <c r="M190" t="s">
        <v>29</v>
      </c>
    </row>
    <row r="191" spans="1:13" x14ac:dyDescent="0.3">
      <c r="A191" t="s">
        <v>218</v>
      </c>
      <c r="B191" s="1">
        <v>45374</v>
      </c>
      <c r="C191" s="1">
        <v>45381</v>
      </c>
      <c r="D191" s="6">
        <f t="shared" si="4"/>
        <v>7</v>
      </c>
      <c r="E191" t="s">
        <v>42</v>
      </c>
      <c r="F191" t="s">
        <v>27</v>
      </c>
      <c r="G191" t="s">
        <v>14</v>
      </c>
      <c r="H191" t="s">
        <v>25</v>
      </c>
      <c r="I191">
        <v>10</v>
      </c>
      <c r="J191" s="2">
        <v>626.79</v>
      </c>
      <c r="K191" s="2">
        <v>483.62</v>
      </c>
      <c r="L191" s="2">
        <f t="shared" si="5"/>
        <v>143.16999999999996</v>
      </c>
      <c r="M191" t="s">
        <v>29</v>
      </c>
    </row>
    <row r="192" spans="1:13" x14ac:dyDescent="0.3">
      <c r="A192" t="s">
        <v>219</v>
      </c>
      <c r="B192" s="1">
        <v>45381</v>
      </c>
      <c r="C192" s="1">
        <v>45388</v>
      </c>
      <c r="D192" s="6">
        <f t="shared" si="4"/>
        <v>7</v>
      </c>
      <c r="E192" t="s">
        <v>42</v>
      </c>
      <c r="F192" t="s">
        <v>31</v>
      </c>
      <c r="G192" t="s">
        <v>19</v>
      </c>
      <c r="H192" t="s">
        <v>15</v>
      </c>
      <c r="I192">
        <v>9</v>
      </c>
      <c r="J192" s="2">
        <v>1369.05</v>
      </c>
      <c r="K192" s="2">
        <v>938.57</v>
      </c>
      <c r="L192" s="2">
        <f t="shared" si="5"/>
        <v>430.4799999999999</v>
      </c>
      <c r="M192" t="s">
        <v>16</v>
      </c>
    </row>
    <row r="193" spans="1:13" x14ac:dyDescent="0.3">
      <c r="A193" t="s">
        <v>220</v>
      </c>
      <c r="B193" s="1">
        <v>45450</v>
      </c>
      <c r="C193" s="1">
        <v>45455</v>
      </c>
      <c r="D193" s="6">
        <f t="shared" si="4"/>
        <v>5</v>
      </c>
      <c r="E193" t="s">
        <v>12</v>
      </c>
      <c r="F193" t="s">
        <v>33</v>
      </c>
      <c r="G193" t="s">
        <v>19</v>
      </c>
      <c r="H193" t="s">
        <v>40</v>
      </c>
      <c r="I193">
        <v>2</v>
      </c>
      <c r="J193" s="2">
        <v>1259.6600000000001</v>
      </c>
      <c r="K193" s="2">
        <v>1048.1400000000001</v>
      </c>
      <c r="L193" s="2">
        <f t="shared" si="5"/>
        <v>211.51999999999998</v>
      </c>
      <c r="M193" t="s">
        <v>21</v>
      </c>
    </row>
    <row r="194" spans="1:13" x14ac:dyDescent="0.3">
      <c r="A194" t="s">
        <v>221</v>
      </c>
      <c r="B194" s="1">
        <v>45638</v>
      </c>
      <c r="C194" s="1">
        <v>45644</v>
      </c>
      <c r="D194" s="6">
        <f t="shared" si="4"/>
        <v>6</v>
      </c>
      <c r="E194" t="s">
        <v>23</v>
      </c>
      <c r="F194" t="s">
        <v>33</v>
      </c>
      <c r="G194" t="s">
        <v>19</v>
      </c>
      <c r="H194" t="s">
        <v>15</v>
      </c>
      <c r="I194">
        <v>10</v>
      </c>
      <c r="J194" s="2">
        <v>1384.44</v>
      </c>
      <c r="K194" s="2">
        <v>1010.78</v>
      </c>
      <c r="L194" s="2">
        <f t="shared" si="5"/>
        <v>373.66000000000008</v>
      </c>
      <c r="M194" t="s">
        <v>29</v>
      </c>
    </row>
    <row r="195" spans="1:13" x14ac:dyDescent="0.3">
      <c r="A195" t="s">
        <v>222</v>
      </c>
      <c r="B195" s="1">
        <v>45481</v>
      </c>
      <c r="C195" s="1">
        <v>45488</v>
      </c>
      <c r="D195" s="6">
        <f t="shared" ref="D195:D258" si="6">C195-B195</f>
        <v>7</v>
      </c>
      <c r="E195" t="s">
        <v>23</v>
      </c>
      <c r="F195" t="s">
        <v>24</v>
      </c>
      <c r="G195" t="s">
        <v>14</v>
      </c>
      <c r="H195" t="s">
        <v>20</v>
      </c>
      <c r="I195">
        <v>5</v>
      </c>
      <c r="J195" s="2">
        <v>1254.8</v>
      </c>
      <c r="K195" s="2">
        <v>1051.68</v>
      </c>
      <c r="L195" s="2">
        <f t="shared" ref="L195:L258" si="7">J195-K195</f>
        <v>203.11999999999989</v>
      </c>
      <c r="M195" t="s">
        <v>16</v>
      </c>
    </row>
    <row r="196" spans="1:13" x14ac:dyDescent="0.3">
      <c r="A196" t="s">
        <v>223</v>
      </c>
      <c r="B196" s="1">
        <v>45404</v>
      </c>
      <c r="C196" s="1">
        <v>45407</v>
      </c>
      <c r="D196" s="6">
        <f t="shared" si="6"/>
        <v>3</v>
      </c>
      <c r="E196" t="s">
        <v>18</v>
      </c>
      <c r="F196" t="s">
        <v>27</v>
      </c>
      <c r="G196" t="s">
        <v>14</v>
      </c>
      <c r="H196" t="s">
        <v>15</v>
      </c>
      <c r="I196">
        <v>4</v>
      </c>
      <c r="J196" s="2">
        <v>293.56</v>
      </c>
      <c r="K196" s="2">
        <v>203.37</v>
      </c>
      <c r="L196" s="2">
        <f t="shared" si="7"/>
        <v>90.19</v>
      </c>
      <c r="M196" t="s">
        <v>29</v>
      </c>
    </row>
    <row r="197" spans="1:13" x14ac:dyDescent="0.3">
      <c r="A197" t="s">
        <v>224</v>
      </c>
      <c r="B197" s="1">
        <v>45499</v>
      </c>
      <c r="C197" s="1">
        <v>45506</v>
      </c>
      <c r="D197" s="6">
        <f t="shared" si="6"/>
        <v>7</v>
      </c>
      <c r="E197" t="s">
        <v>18</v>
      </c>
      <c r="F197" t="s">
        <v>24</v>
      </c>
      <c r="G197" t="s">
        <v>19</v>
      </c>
      <c r="H197" t="s">
        <v>25</v>
      </c>
      <c r="I197">
        <v>10</v>
      </c>
      <c r="J197" s="2">
        <v>1516.6</v>
      </c>
      <c r="K197" s="2">
        <v>1113.28</v>
      </c>
      <c r="L197" s="2">
        <f t="shared" si="7"/>
        <v>403.31999999999994</v>
      </c>
      <c r="M197" t="s">
        <v>29</v>
      </c>
    </row>
    <row r="198" spans="1:13" x14ac:dyDescent="0.3">
      <c r="A198" t="s">
        <v>225</v>
      </c>
      <c r="B198" s="1">
        <v>45373</v>
      </c>
      <c r="C198" s="1">
        <v>45379</v>
      </c>
      <c r="D198" s="6">
        <f t="shared" si="6"/>
        <v>6</v>
      </c>
      <c r="E198" t="s">
        <v>18</v>
      </c>
      <c r="F198" t="s">
        <v>31</v>
      </c>
      <c r="G198" t="s">
        <v>14</v>
      </c>
      <c r="H198" t="s">
        <v>25</v>
      </c>
      <c r="I198">
        <v>1</v>
      </c>
      <c r="J198" s="2">
        <v>875.32</v>
      </c>
      <c r="K198" s="2">
        <v>670.96</v>
      </c>
      <c r="L198" s="2">
        <f t="shared" si="7"/>
        <v>204.36</v>
      </c>
      <c r="M198" t="s">
        <v>29</v>
      </c>
    </row>
    <row r="199" spans="1:13" x14ac:dyDescent="0.3">
      <c r="A199" t="s">
        <v>226</v>
      </c>
      <c r="B199" s="1">
        <v>45558</v>
      </c>
      <c r="C199" s="1">
        <v>45568</v>
      </c>
      <c r="D199" s="6">
        <f t="shared" si="6"/>
        <v>10</v>
      </c>
      <c r="E199" t="s">
        <v>12</v>
      </c>
      <c r="F199" t="s">
        <v>27</v>
      </c>
      <c r="G199" t="s">
        <v>14</v>
      </c>
      <c r="H199" t="s">
        <v>25</v>
      </c>
      <c r="I199">
        <v>1</v>
      </c>
      <c r="J199" s="2">
        <v>1208.33</v>
      </c>
      <c r="K199" s="2">
        <v>925.41</v>
      </c>
      <c r="L199" s="2">
        <f t="shared" si="7"/>
        <v>282.91999999999996</v>
      </c>
      <c r="M199" t="s">
        <v>21</v>
      </c>
    </row>
    <row r="200" spans="1:13" x14ac:dyDescent="0.3">
      <c r="A200" t="s">
        <v>227</v>
      </c>
      <c r="B200" s="1">
        <v>45480</v>
      </c>
      <c r="C200" s="1">
        <v>45488</v>
      </c>
      <c r="D200" s="6">
        <f t="shared" si="6"/>
        <v>8</v>
      </c>
      <c r="E200" t="s">
        <v>42</v>
      </c>
      <c r="F200" t="s">
        <v>33</v>
      </c>
      <c r="G200" t="s">
        <v>19</v>
      </c>
      <c r="H200" t="s">
        <v>20</v>
      </c>
      <c r="I200">
        <v>3</v>
      </c>
      <c r="J200" s="2">
        <v>653.76</v>
      </c>
      <c r="K200" s="2">
        <v>528.09</v>
      </c>
      <c r="L200" s="2">
        <f t="shared" si="7"/>
        <v>125.66999999999996</v>
      </c>
      <c r="M200" t="s">
        <v>21</v>
      </c>
    </row>
    <row r="201" spans="1:13" x14ac:dyDescent="0.3">
      <c r="A201" t="s">
        <v>228</v>
      </c>
      <c r="B201" s="1">
        <v>45459</v>
      </c>
      <c r="C201" s="1">
        <v>45465</v>
      </c>
      <c r="D201" s="6">
        <f t="shared" si="6"/>
        <v>6</v>
      </c>
      <c r="E201" t="s">
        <v>18</v>
      </c>
      <c r="F201" t="s">
        <v>33</v>
      </c>
      <c r="G201" t="s">
        <v>19</v>
      </c>
      <c r="H201" t="s">
        <v>20</v>
      </c>
      <c r="I201">
        <v>7</v>
      </c>
      <c r="J201" s="2">
        <v>836.14</v>
      </c>
      <c r="K201" s="2">
        <v>654.95000000000005</v>
      </c>
      <c r="L201" s="2">
        <f t="shared" si="7"/>
        <v>181.18999999999994</v>
      </c>
      <c r="M201" t="s">
        <v>21</v>
      </c>
    </row>
    <row r="202" spans="1:13" x14ac:dyDescent="0.3">
      <c r="A202" t="s">
        <v>229</v>
      </c>
      <c r="B202" s="1">
        <v>45465</v>
      </c>
      <c r="C202" s="1">
        <v>45475</v>
      </c>
      <c r="D202" s="6">
        <f t="shared" si="6"/>
        <v>10</v>
      </c>
      <c r="E202" t="s">
        <v>23</v>
      </c>
      <c r="F202" t="s">
        <v>33</v>
      </c>
      <c r="G202" t="s">
        <v>19</v>
      </c>
      <c r="H202" t="s">
        <v>40</v>
      </c>
      <c r="I202">
        <v>6</v>
      </c>
      <c r="J202" s="2">
        <v>370.85</v>
      </c>
      <c r="K202" s="2">
        <v>312.25</v>
      </c>
      <c r="L202" s="2">
        <f t="shared" si="7"/>
        <v>58.600000000000023</v>
      </c>
      <c r="M202" t="s">
        <v>16</v>
      </c>
    </row>
    <row r="203" spans="1:13" x14ac:dyDescent="0.3">
      <c r="A203" t="s">
        <v>230</v>
      </c>
      <c r="B203" s="1">
        <v>45549</v>
      </c>
      <c r="C203" s="1">
        <v>45559</v>
      </c>
      <c r="D203" s="6">
        <f t="shared" si="6"/>
        <v>10</v>
      </c>
      <c r="E203" t="s">
        <v>23</v>
      </c>
      <c r="F203" t="s">
        <v>24</v>
      </c>
      <c r="G203" t="s">
        <v>14</v>
      </c>
      <c r="H203" t="s">
        <v>40</v>
      </c>
      <c r="I203">
        <v>3</v>
      </c>
      <c r="J203" s="2">
        <v>1561.44</v>
      </c>
      <c r="K203" s="2">
        <v>986.75</v>
      </c>
      <c r="L203" s="2">
        <f t="shared" si="7"/>
        <v>574.69000000000005</v>
      </c>
      <c r="M203" t="s">
        <v>16</v>
      </c>
    </row>
    <row r="204" spans="1:13" x14ac:dyDescent="0.3">
      <c r="A204" t="s">
        <v>231</v>
      </c>
      <c r="B204" s="1">
        <v>45509</v>
      </c>
      <c r="C204" s="1">
        <v>45515</v>
      </c>
      <c r="D204" s="6">
        <f t="shared" si="6"/>
        <v>6</v>
      </c>
      <c r="E204" t="s">
        <v>12</v>
      </c>
      <c r="F204" t="s">
        <v>24</v>
      </c>
      <c r="G204" t="s">
        <v>19</v>
      </c>
      <c r="H204" t="s">
        <v>25</v>
      </c>
      <c r="I204">
        <v>3</v>
      </c>
      <c r="J204" s="2">
        <v>463.94</v>
      </c>
      <c r="K204" s="2">
        <v>363.46</v>
      </c>
      <c r="L204" s="2">
        <f t="shared" si="7"/>
        <v>100.48000000000002</v>
      </c>
      <c r="M204" t="s">
        <v>21</v>
      </c>
    </row>
    <row r="205" spans="1:13" x14ac:dyDescent="0.3">
      <c r="A205" t="s">
        <v>232</v>
      </c>
      <c r="B205" s="1">
        <v>45558</v>
      </c>
      <c r="C205" s="1">
        <v>45560</v>
      </c>
      <c r="D205" s="6">
        <f t="shared" si="6"/>
        <v>2</v>
      </c>
      <c r="E205" t="s">
        <v>23</v>
      </c>
      <c r="F205" t="s">
        <v>33</v>
      </c>
      <c r="G205" t="s">
        <v>19</v>
      </c>
      <c r="H205" t="s">
        <v>20</v>
      </c>
      <c r="I205">
        <v>5</v>
      </c>
      <c r="J205" s="2">
        <v>1849.7</v>
      </c>
      <c r="K205" s="2">
        <v>1521.74</v>
      </c>
      <c r="L205" s="2">
        <f t="shared" si="7"/>
        <v>327.96000000000004</v>
      </c>
      <c r="M205" t="s">
        <v>16</v>
      </c>
    </row>
    <row r="206" spans="1:13" x14ac:dyDescent="0.3">
      <c r="A206" t="s">
        <v>233</v>
      </c>
      <c r="B206" s="1">
        <v>45543</v>
      </c>
      <c r="C206" s="1">
        <v>45553</v>
      </c>
      <c r="D206" s="6">
        <f t="shared" si="6"/>
        <v>10</v>
      </c>
      <c r="E206" t="s">
        <v>18</v>
      </c>
      <c r="F206" t="s">
        <v>13</v>
      </c>
      <c r="G206" t="s">
        <v>14</v>
      </c>
      <c r="H206" t="s">
        <v>20</v>
      </c>
      <c r="I206">
        <v>2</v>
      </c>
      <c r="J206" s="2">
        <v>1844.25</v>
      </c>
      <c r="K206" s="2">
        <v>1537.67</v>
      </c>
      <c r="L206" s="2">
        <f t="shared" si="7"/>
        <v>306.57999999999993</v>
      </c>
      <c r="M206" t="s">
        <v>29</v>
      </c>
    </row>
    <row r="207" spans="1:13" x14ac:dyDescent="0.3">
      <c r="A207" t="s">
        <v>234</v>
      </c>
      <c r="B207" s="1">
        <v>45377</v>
      </c>
      <c r="C207" s="1">
        <v>45383</v>
      </c>
      <c r="D207" s="6">
        <f t="shared" si="6"/>
        <v>6</v>
      </c>
      <c r="E207" t="s">
        <v>42</v>
      </c>
      <c r="F207" t="s">
        <v>27</v>
      </c>
      <c r="G207" t="s">
        <v>19</v>
      </c>
      <c r="H207" t="s">
        <v>40</v>
      </c>
      <c r="I207">
        <v>2</v>
      </c>
      <c r="J207" s="2">
        <v>1807.77</v>
      </c>
      <c r="K207" s="2">
        <v>1284.5899999999999</v>
      </c>
      <c r="L207" s="2">
        <f t="shared" si="7"/>
        <v>523.18000000000006</v>
      </c>
      <c r="M207" t="s">
        <v>21</v>
      </c>
    </row>
    <row r="208" spans="1:13" x14ac:dyDescent="0.3">
      <c r="A208" t="s">
        <v>235</v>
      </c>
      <c r="B208" s="1">
        <v>45624</v>
      </c>
      <c r="C208" s="1">
        <v>45628</v>
      </c>
      <c r="D208" s="6">
        <f t="shared" si="6"/>
        <v>4</v>
      </c>
      <c r="E208" t="s">
        <v>42</v>
      </c>
      <c r="F208" t="s">
        <v>13</v>
      </c>
      <c r="G208" t="s">
        <v>14</v>
      </c>
      <c r="H208" t="s">
        <v>15</v>
      </c>
      <c r="I208">
        <v>7</v>
      </c>
      <c r="J208" s="2">
        <v>1176.05</v>
      </c>
      <c r="K208" s="2">
        <v>970.87</v>
      </c>
      <c r="L208" s="2">
        <f t="shared" si="7"/>
        <v>205.17999999999995</v>
      </c>
      <c r="M208" t="s">
        <v>29</v>
      </c>
    </row>
    <row r="209" spans="1:13" x14ac:dyDescent="0.3">
      <c r="A209" t="s">
        <v>236</v>
      </c>
      <c r="B209" s="1">
        <v>45302</v>
      </c>
      <c r="C209" s="1">
        <v>45305</v>
      </c>
      <c r="D209" s="6">
        <f t="shared" si="6"/>
        <v>3</v>
      </c>
      <c r="E209" t="s">
        <v>18</v>
      </c>
      <c r="F209" t="s">
        <v>24</v>
      </c>
      <c r="G209" t="s">
        <v>14</v>
      </c>
      <c r="H209" t="s">
        <v>15</v>
      </c>
      <c r="I209">
        <v>3</v>
      </c>
      <c r="J209" s="2">
        <v>1189.56</v>
      </c>
      <c r="K209" s="2">
        <v>889.18</v>
      </c>
      <c r="L209" s="2">
        <f t="shared" si="7"/>
        <v>300.38</v>
      </c>
      <c r="M209" t="s">
        <v>29</v>
      </c>
    </row>
    <row r="210" spans="1:13" x14ac:dyDescent="0.3">
      <c r="A210" t="s">
        <v>237</v>
      </c>
      <c r="B210" s="1">
        <v>45622</v>
      </c>
      <c r="C210" s="1">
        <v>45625</v>
      </c>
      <c r="D210" s="6">
        <f t="shared" si="6"/>
        <v>3</v>
      </c>
      <c r="E210" t="s">
        <v>18</v>
      </c>
      <c r="F210" t="s">
        <v>31</v>
      </c>
      <c r="G210" t="s">
        <v>19</v>
      </c>
      <c r="H210" t="s">
        <v>25</v>
      </c>
      <c r="I210">
        <v>6</v>
      </c>
      <c r="J210" s="2">
        <v>578.37</v>
      </c>
      <c r="K210" s="2">
        <v>355.33</v>
      </c>
      <c r="L210" s="2">
        <f t="shared" si="7"/>
        <v>223.04000000000002</v>
      </c>
      <c r="M210" t="s">
        <v>29</v>
      </c>
    </row>
    <row r="211" spans="1:13" x14ac:dyDescent="0.3">
      <c r="A211" t="s">
        <v>238</v>
      </c>
      <c r="B211" s="1">
        <v>45465</v>
      </c>
      <c r="C211" s="1">
        <v>45474</v>
      </c>
      <c r="D211" s="6">
        <f t="shared" si="6"/>
        <v>9</v>
      </c>
      <c r="E211" t="s">
        <v>18</v>
      </c>
      <c r="F211" t="s">
        <v>31</v>
      </c>
      <c r="G211" t="s">
        <v>19</v>
      </c>
      <c r="H211" t="s">
        <v>25</v>
      </c>
      <c r="I211">
        <v>9</v>
      </c>
      <c r="J211" s="2">
        <v>1631.75</v>
      </c>
      <c r="K211" s="2">
        <v>1212.03</v>
      </c>
      <c r="L211" s="2">
        <f t="shared" si="7"/>
        <v>419.72</v>
      </c>
      <c r="M211" t="s">
        <v>29</v>
      </c>
    </row>
    <row r="212" spans="1:13" x14ac:dyDescent="0.3">
      <c r="A212" t="s">
        <v>239</v>
      </c>
      <c r="B212" s="1">
        <v>45305</v>
      </c>
      <c r="C212" s="1">
        <v>45313</v>
      </c>
      <c r="D212" s="6">
        <f t="shared" si="6"/>
        <v>8</v>
      </c>
      <c r="E212" t="s">
        <v>42</v>
      </c>
      <c r="F212" t="s">
        <v>27</v>
      </c>
      <c r="G212" t="s">
        <v>14</v>
      </c>
      <c r="H212" t="s">
        <v>20</v>
      </c>
      <c r="I212">
        <v>2</v>
      </c>
      <c r="J212" s="2">
        <v>860.12</v>
      </c>
      <c r="K212" s="2">
        <v>619.26</v>
      </c>
      <c r="L212" s="2">
        <f t="shared" si="7"/>
        <v>240.86</v>
      </c>
      <c r="M212" t="s">
        <v>21</v>
      </c>
    </row>
    <row r="213" spans="1:13" x14ac:dyDescent="0.3">
      <c r="A213" t="s">
        <v>240</v>
      </c>
      <c r="B213" s="1">
        <v>45358</v>
      </c>
      <c r="C213" s="1">
        <v>45367</v>
      </c>
      <c r="D213" s="6">
        <f t="shared" si="6"/>
        <v>9</v>
      </c>
      <c r="E213" t="s">
        <v>12</v>
      </c>
      <c r="F213" t="s">
        <v>33</v>
      </c>
      <c r="G213" t="s">
        <v>14</v>
      </c>
      <c r="H213" t="s">
        <v>40</v>
      </c>
      <c r="I213">
        <v>5</v>
      </c>
      <c r="J213" s="2">
        <v>740.83</v>
      </c>
      <c r="K213" s="2">
        <v>499.27</v>
      </c>
      <c r="L213" s="2">
        <f t="shared" si="7"/>
        <v>241.56000000000006</v>
      </c>
      <c r="M213" t="s">
        <v>29</v>
      </c>
    </row>
    <row r="214" spans="1:13" x14ac:dyDescent="0.3">
      <c r="A214" t="s">
        <v>241</v>
      </c>
      <c r="B214" s="1">
        <v>45564</v>
      </c>
      <c r="C214" s="1">
        <v>45571</v>
      </c>
      <c r="D214" s="6">
        <f t="shared" si="6"/>
        <v>7</v>
      </c>
      <c r="E214" t="s">
        <v>12</v>
      </c>
      <c r="F214" t="s">
        <v>13</v>
      </c>
      <c r="G214" t="s">
        <v>19</v>
      </c>
      <c r="H214" t="s">
        <v>40</v>
      </c>
      <c r="I214">
        <v>1</v>
      </c>
      <c r="J214" s="2">
        <v>734.83</v>
      </c>
      <c r="K214" s="2">
        <v>479.52</v>
      </c>
      <c r="L214" s="2">
        <f t="shared" si="7"/>
        <v>255.31000000000006</v>
      </c>
      <c r="M214" t="s">
        <v>21</v>
      </c>
    </row>
    <row r="215" spans="1:13" x14ac:dyDescent="0.3">
      <c r="A215" t="s">
        <v>242</v>
      </c>
      <c r="B215" s="1">
        <v>45292</v>
      </c>
      <c r="C215" s="1">
        <v>45300</v>
      </c>
      <c r="D215" s="6">
        <f t="shared" si="6"/>
        <v>8</v>
      </c>
      <c r="E215" t="s">
        <v>42</v>
      </c>
      <c r="F215" t="s">
        <v>13</v>
      </c>
      <c r="G215" t="s">
        <v>19</v>
      </c>
      <c r="H215" t="s">
        <v>15</v>
      </c>
      <c r="I215">
        <v>4</v>
      </c>
      <c r="J215" s="2">
        <v>1755.47</v>
      </c>
      <c r="K215" s="2">
        <v>1357.62</v>
      </c>
      <c r="L215" s="2">
        <f t="shared" si="7"/>
        <v>397.85000000000014</v>
      </c>
      <c r="M215" t="s">
        <v>16</v>
      </c>
    </row>
    <row r="216" spans="1:13" x14ac:dyDescent="0.3">
      <c r="A216" t="s">
        <v>243</v>
      </c>
      <c r="B216" s="1">
        <v>45562</v>
      </c>
      <c r="C216" s="1">
        <v>45568</v>
      </c>
      <c r="D216" s="6">
        <f t="shared" si="6"/>
        <v>6</v>
      </c>
      <c r="E216" t="s">
        <v>42</v>
      </c>
      <c r="F216" t="s">
        <v>33</v>
      </c>
      <c r="G216" t="s">
        <v>19</v>
      </c>
      <c r="H216" t="s">
        <v>40</v>
      </c>
      <c r="I216">
        <v>6</v>
      </c>
      <c r="J216" s="2">
        <v>1873.81</v>
      </c>
      <c r="K216" s="2">
        <v>1160.26</v>
      </c>
      <c r="L216" s="2">
        <f t="shared" si="7"/>
        <v>713.55</v>
      </c>
      <c r="M216" t="s">
        <v>16</v>
      </c>
    </row>
    <row r="217" spans="1:13" x14ac:dyDescent="0.3">
      <c r="A217" t="s">
        <v>244</v>
      </c>
      <c r="B217" s="1">
        <v>45470</v>
      </c>
      <c r="C217" s="1">
        <v>45480</v>
      </c>
      <c r="D217" s="6">
        <f t="shared" si="6"/>
        <v>10</v>
      </c>
      <c r="E217" t="s">
        <v>18</v>
      </c>
      <c r="F217" t="s">
        <v>33</v>
      </c>
      <c r="G217" t="s">
        <v>14</v>
      </c>
      <c r="H217" t="s">
        <v>20</v>
      </c>
      <c r="I217">
        <v>6</v>
      </c>
      <c r="J217" s="2">
        <v>1805.62</v>
      </c>
      <c r="K217" s="2">
        <v>1180.42</v>
      </c>
      <c r="L217" s="2">
        <f t="shared" si="7"/>
        <v>625.19999999999982</v>
      </c>
      <c r="M217" t="s">
        <v>29</v>
      </c>
    </row>
    <row r="218" spans="1:13" x14ac:dyDescent="0.3">
      <c r="A218" t="s">
        <v>245</v>
      </c>
      <c r="B218" s="1">
        <v>45314</v>
      </c>
      <c r="C218" s="1">
        <v>45319</v>
      </c>
      <c r="D218" s="6">
        <f t="shared" si="6"/>
        <v>5</v>
      </c>
      <c r="E218" t="s">
        <v>42</v>
      </c>
      <c r="F218" t="s">
        <v>27</v>
      </c>
      <c r="G218" t="s">
        <v>19</v>
      </c>
      <c r="H218" t="s">
        <v>25</v>
      </c>
      <c r="I218">
        <v>4</v>
      </c>
      <c r="J218" s="2">
        <v>1165.0999999999999</v>
      </c>
      <c r="K218" s="2">
        <v>715.52</v>
      </c>
      <c r="L218" s="2">
        <f t="shared" si="7"/>
        <v>449.57999999999993</v>
      </c>
      <c r="M218" t="s">
        <v>29</v>
      </c>
    </row>
    <row r="219" spans="1:13" x14ac:dyDescent="0.3">
      <c r="A219" t="s">
        <v>246</v>
      </c>
      <c r="B219" s="1">
        <v>45568</v>
      </c>
      <c r="C219" s="1">
        <v>45571</v>
      </c>
      <c r="D219" s="6">
        <f t="shared" si="6"/>
        <v>3</v>
      </c>
      <c r="E219" t="s">
        <v>42</v>
      </c>
      <c r="F219" t="s">
        <v>27</v>
      </c>
      <c r="G219" t="s">
        <v>19</v>
      </c>
      <c r="H219" t="s">
        <v>40</v>
      </c>
      <c r="I219">
        <v>10</v>
      </c>
      <c r="J219" s="2">
        <v>1924.58</v>
      </c>
      <c r="K219" s="2">
        <v>1551.77</v>
      </c>
      <c r="L219" s="2">
        <f t="shared" si="7"/>
        <v>372.80999999999995</v>
      </c>
      <c r="M219" t="s">
        <v>29</v>
      </c>
    </row>
    <row r="220" spans="1:13" x14ac:dyDescent="0.3">
      <c r="A220" t="s">
        <v>247</v>
      </c>
      <c r="B220" s="1">
        <v>45346</v>
      </c>
      <c r="C220" s="1">
        <v>45349</v>
      </c>
      <c r="D220" s="6">
        <f t="shared" si="6"/>
        <v>3</v>
      </c>
      <c r="E220" t="s">
        <v>23</v>
      </c>
      <c r="F220" t="s">
        <v>33</v>
      </c>
      <c r="G220" t="s">
        <v>14</v>
      </c>
      <c r="H220" t="s">
        <v>25</v>
      </c>
      <c r="I220">
        <v>7</v>
      </c>
      <c r="J220" s="2">
        <v>839.17</v>
      </c>
      <c r="K220" s="2">
        <v>581.02</v>
      </c>
      <c r="L220" s="2">
        <f t="shared" si="7"/>
        <v>258.14999999999998</v>
      </c>
      <c r="M220" t="s">
        <v>16</v>
      </c>
    </row>
    <row r="221" spans="1:13" x14ac:dyDescent="0.3">
      <c r="A221" t="s">
        <v>248</v>
      </c>
      <c r="B221" s="1">
        <v>45542</v>
      </c>
      <c r="C221" s="1">
        <v>45548</v>
      </c>
      <c r="D221" s="6">
        <f t="shared" si="6"/>
        <v>6</v>
      </c>
      <c r="E221" t="s">
        <v>18</v>
      </c>
      <c r="F221" t="s">
        <v>33</v>
      </c>
      <c r="G221" t="s">
        <v>14</v>
      </c>
      <c r="H221" t="s">
        <v>20</v>
      </c>
      <c r="I221">
        <v>1</v>
      </c>
      <c r="J221" s="2">
        <v>735.35</v>
      </c>
      <c r="K221" s="2">
        <v>517.28</v>
      </c>
      <c r="L221" s="2">
        <f t="shared" si="7"/>
        <v>218.07000000000005</v>
      </c>
      <c r="M221" t="s">
        <v>21</v>
      </c>
    </row>
    <row r="222" spans="1:13" x14ac:dyDescent="0.3">
      <c r="A222" t="s">
        <v>249</v>
      </c>
      <c r="B222" s="1">
        <v>45435</v>
      </c>
      <c r="C222" s="1">
        <v>45443</v>
      </c>
      <c r="D222" s="6">
        <f t="shared" si="6"/>
        <v>8</v>
      </c>
      <c r="E222" t="s">
        <v>23</v>
      </c>
      <c r="F222" t="s">
        <v>24</v>
      </c>
      <c r="G222" t="s">
        <v>19</v>
      </c>
      <c r="H222" t="s">
        <v>20</v>
      </c>
      <c r="I222">
        <v>8</v>
      </c>
      <c r="J222" s="2">
        <v>941.01</v>
      </c>
      <c r="K222" s="2">
        <v>704.29</v>
      </c>
      <c r="L222" s="2">
        <f t="shared" si="7"/>
        <v>236.72000000000003</v>
      </c>
      <c r="M222" t="s">
        <v>21</v>
      </c>
    </row>
    <row r="223" spans="1:13" x14ac:dyDescent="0.3">
      <c r="A223" t="s">
        <v>250</v>
      </c>
      <c r="B223" s="1">
        <v>45550</v>
      </c>
      <c r="C223" s="1">
        <v>45553</v>
      </c>
      <c r="D223" s="6">
        <f t="shared" si="6"/>
        <v>3</v>
      </c>
      <c r="E223" t="s">
        <v>18</v>
      </c>
      <c r="F223" t="s">
        <v>13</v>
      </c>
      <c r="G223" t="s">
        <v>19</v>
      </c>
      <c r="H223" t="s">
        <v>40</v>
      </c>
      <c r="I223">
        <v>6</v>
      </c>
      <c r="J223" s="2">
        <v>937.83</v>
      </c>
      <c r="K223" s="2">
        <v>630.76</v>
      </c>
      <c r="L223" s="2">
        <f t="shared" si="7"/>
        <v>307.07000000000005</v>
      </c>
      <c r="M223" t="s">
        <v>16</v>
      </c>
    </row>
    <row r="224" spans="1:13" x14ac:dyDescent="0.3">
      <c r="A224" t="s">
        <v>251</v>
      </c>
      <c r="B224" s="1">
        <v>45621</v>
      </c>
      <c r="C224" s="1">
        <v>45625</v>
      </c>
      <c r="D224" s="6">
        <f t="shared" si="6"/>
        <v>4</v>
      </c>
      <c r="E224" t="s">
        <v>12</v>
      </c>
      <c r="F224" t="s">
        <v>24</v>
      </c>
      <c r="G224" t="s">
        <v>19</v>
      </c>
      <c r="H224" t="s">
        <v>40</v>
      </c>
      <c r="I224">
        <v>7</v>
      </c>
      <c r="J224" s="2">
        <v>998.01</v>
      </c>
      <c r="K224" s="2">
        <v>644.16</v>
      </c>
      <c r="L224" s="2">
        <f t="shared" si="7"/>
        <v>353.85</v>
      </c>
      <c r="M224" t="s">
        <v>21</v>
      </c>
    </row>
    <row r="225" spans="1:13" x14ac:dyDescent="0.3">
      <c r="A225" t="s">
        <v>252</v>
      </c>
      <c r="B225" s="1">
        <v>45599</v>
      </c>
      <c r="C225" s="1">
        <v>45603</v>
      </c>
      <c r="D225" s="6">
        <f t="shared" si="6"/>
        <v>4</v>
      </c>
      <c r="E225" t="s">
        <v>12</v>
      </c>
      <c r="F225" t="s">
        <v>24</v>
      </c>
      <c r="G225" t="s">
        <v>14</v>
      </c>
      <c r="H225" t="s">
        <v>15</v>
      </c>
      <c r="I225">
        <v>6</v>
      </c>
      <c r="J225" s="2">
        <v>1803.39</v>
      </c>
      <c r="K225" s="2">
        <v>1228.95</v>
      </c>
      <c r="L225" s="2">
        <f t="shared" si="7"/>
        <v>574.44000000000005</v>
      </c>
      <c r="M225" t="s">
        <v>29</v>
      </c>
    </row>
    <row r="226" spans="1:13" x14ac:dyDescent="0.3">
      <c r="A226" t="s">
        <v>253</v>
      </c>
      <c r="B226" s="1">
        <v>45477</v>
      </c>
      <c r="C226" s="1">
        <v>45486</v>
      </c>
      <c r="D226" s="6">
        <f t="shared" si="6"/>
        <v>9</v>
      </c>
      <c r="E226" t="s">
        <v>18</v>
      </c>
      <c r="F226" t="s">
        <v>24</v>
      </c>
      <c r="G226" t="s">
        <v>19</v>
      </c>
      <c r="H226" t="s">
        <v>40</v>
      </c>
      <c r="I226">
        <v>8</v>
      </c>
      <c r="J226" s="2">
        <v>1545.24</v>
      </c>
      <c r="K226" s="2">
        <v>1049.75</v>
      </c>
      <c r="L226" s="2">
        <f t="shared" si="7"/>
        <v>495.49</v>
      </c>
      <c r="M226" t="s">
        <v>29</v>
      </c>
    </row>
    <row r="227" spans="1:13" x14ac:dyDescent="0.3">
      <c r="A227" t="s">
        <v>254</v>
      </c>
      <c r="B227" s="1">
        <v>45453</v>
      </c>
      <c r="C227" s="1">
        <v>45457</v>
      </c>
      <c r="D227" s="6">
        <f t="shared" si="6"/>
        <v>4</v>
      </c>
      <c r="E227" t="s">
        <v>18</v>
      </c>
      <c r="F227" t="s">
        <v>27</v>
      </c>
      <c r="G227" t="s">
        <v>19</v>
      </c>
      <c r="H227" t="s">
        <v>25</v>
      </c>
      <c r="I227">
        <v>10</v>
      </c>
      <c r="J227" s="2">
        <v>1443.17</v>
      </c>
      <c r="K227" s="2">
        <v>1165.51</v>
      </c>
      <c r="L227" s="2">
        <f t="shared" si="7"/>
        <v>277.66000000000008</v>
      </c>
      <c r="M227" t="s">
        <v>29</v>
      </c>
    </row>
    <row r="228" spans="1:13" x14ac:dyDescent="0.3">
      <c r="A228" t="s">
        <v>255</v>
      </c>
      <c r="B228" s="1">
        <v>45468</v>
      </c>
      <c r="C228" s="1">
        <v>45473</v>
      </c>
      <c r="D228" s="6">
        <f t="shared" si="6"/>
        <v>5</v>
      </c>
      <c r="E228" t="s">
        <v>18</v>
      </c>
      <c r="F228" t="s">
        <v>31</v>
      </c>
      <c r="G228" t="s">
        <v>19</v>
      </c>
      <c r="H228" t="s">
        <v>20</v>
      </c>
      <c r="I228">
        <v>4</v>
      </c>
      <c r="J228" s="2">
        <v>1029.81</v>
      </c>
      <c r="K228" s="2">
        <v>672.44</v>
      </c>
      <c r="L228" s="2">
        <f t="shared" si="7"/>
        <v>357.36999999999989</v>
      </c>
      <c r="M228" t="s">
        <v>21</v>
      </c>
    </row>
    <row r="229" spans="1:13" x14ac:dyDescent="0.3">
      <c r="A229" t="s">
        <v>256</v>
      </c>
      <c r="B229" s="1">
        <v>45378</v>
      </c>
      <c r="C229" s="1">
        <v>45384</v>
      </c>
      <c r="D229" s="6">
        <f t="shared" si="6"/>
        <v>6</v>
      </c>
      <c r="E229" t="s">
        <v>18</v>
      </c>
      <c r="F229" t="s">
        <v>27</v>
      </c>
      <c r="G229" t="s">
        <v>14</v>
      </c>
      <c r="H229" t="s">
        <v>15</v>
      </c>
      <c r="I229">
        <v>7</v>
      </c>
      <c r="J229" s="2">
        <v>1036.98</v>
      </c>
      <c r="K229" s="2">
        <v>672.5</v>
      </c>
      <c r="L229" s="2">
        <f t="shared" si="7"/>
        <v>364.48</v>
      </c>
      <c r="M229" t="s">
        <v>16</v>
      </c>
    </row>
    <row r="230" spans="1:13" x14ac:dyDescent="0.3">
      <c r="A230" t="s">
        <v>257</v>
      </c>
      <c r="B230" s="1">
        <v>45370</v>
      </c>
      <c r="C230" s="1">
        <v>45377</v>
      </c>
      <c r="D230" s="6">
        <f t="shared" si="6"/>
        <v>7</v>
      </c>
      <c r="E230" t="s">
        <v>12</v>
      </c>
      <c r="F230" t="s">
        <v>33</v>
      </c>
      <c r="G230" t="s">
        <v>19</v>
      </c>
      <c r="H230" t="s">
        <v>15</v>
      </c>
      <c r="I230">
        <v>7</v>
      </c>
      <c r="J230" s="2">
        <v>328.65</v>
      </c>
      <c r="K230" s="2">
        <v>250.32</v>
      </c>
      <c r="L230" s="2">
        <f t="shared" si="7"/>
        <v>78.329999999999984</v>
      </c>
      <c r="M230" t="s">
        <v>16</v>
      </c>
    </row>
    <row r="231" spans="1:13" x14ac:dyDescent="0.3">
      <c r="A231" t="s">
        <v>258</v>
      </c>
      <c r="B231" s="1">
        <v>45647</v>
      </c>
      <c r="C231" s="1">
        <v>45652</v>
      </c>
      <c r="D231" s="6">
        <f t="shared" si="6"/>
        <v>5</v>
      </c>
      <c r="E231" t="s">
        <v>12</v>
      </c>
      <c r="F231" t="s">
        <v>13</v>
      </c>
      <c r="G231" t="s">
        <v>19</v>
      </c>
      <c r="H231" t="s">
        <v>15</v>
      </c>
      <c r="I231">
        <v>2</v>
      </c>
      <c r="J231" s="2">
        <v>784.88</v>
      </c>
      <c r="K231" s="2">
        <v>508.73</v>
      </c>
      <c r="L231" s="2">
        <f t="shared" si="7"/>
        <v>276.14999999999998</v>
      </c>
      <c r="M231" t="s">
        <v>21</v>
      </c>
    </row>
    <row r="232" spans="1:13" x14ac:dyDescent="0.3">
      <c r="A232" t="s">
        <v>259</v>
      </c>
      <c r="B232" s="1">
        <v>45467</v>
      </c>
      <c r="C232" s="1">
        <v>45476</v>
      </c>
      <c r="D232" s="6">
        <f t="shared" si="6"/>
        <v>9</v>
      </c>
      <c r="E232" t="s">
        <v>12</v>
      </c>
      <c r="F232" t="s">
        <v>31</v>
      </c>
      <c r="G232" t="s">
        <v>19</v>
      </c>
      <c r="H232" t="s">
        <v>20</v>
      </c>
      <c r="I232">
        <v>10</v>
      </c>
      <c r="J232" s="2">
        <v>680.98</v>
      </c>
      <c r="K232" s="2">
        <v>424.29</v>
      </c>
      <c r="L232" s="2">
        <f t="shared" si="7"/>
        <v>256.69</v>
      </c>
      <c r="M232" t="s">
        <v>29</v>
      </c>
    </row>
    <row r="233" spans="1:13" x14ac:dyDescent="0.3">
      <c r="A233" t="s">
        <v>260</v>
      </c>
      <c r="B233" s="1">
        <v>45471</v>
      </c>
      <c r="C233" s="1">
        <v>45477</v>
      </c>
      <c r="D233" s="6">
        <f t="shared" si="6"/>
        <v>6</v>
      </c>
      <c r="E233" t="s">
        <v>18</v>
      </c>
      <c r="F233" t="s">
        <v>27</v>
      </c>
      <c r="G233" t="s">
        <v>19</v>
      </c>
      <c r="H233" t="s">
        <v>25</v>
      </c>
      <c r="I233">
        <v>4</v>
      </c>
      <c r="J233" s="2">
        <v>1094.5899999999999</v>
      </c>
      <c r="K233" s="2">
        <v>847.53</v>
      </c>
      <c r="L233" s="2">
        <f t="shared" si="7"/>
        <v>247.05999999999995</v>
      </c>
      <c r="M233" t="s">
        <v>16</v>
      </c>
    </row>
    <row r="234" spans="1:13" x14ac:dyDescent="0.3">
      <c r="A234" t="s">
        <v>261</v>
      </c>
      <c r="B234" s="1">
        <v>45445</v>
      </c>
      <c r="C234" s="1">
        <v>45451</v>
      </c>
      <c r="D234" s="6">
        <f t="shared" si="6"/>
        <v>6</v>
      </c>
      <c r="E234" t="s">
        <v>12</v>
      </c>
      <c r="F234" t="s">
        <v>24</v>
      </c>
      <c r="G234" t="s">
        <v>19</v>
      </c>
      <c r="H234" t="s">
        <v>40</v>
      </c>
      <c r="I234">
        <v>7</v>
      </c>
      <c r="J234" s="2">
        <v>1201.5899999999999</v>
      </c>
      <c r="K234" s="2">
        <v>810.22</v>
      </c>
      <c r="L234" s="2">
        <f t="shared" si="7"/>
        <v>391.36999999999989</v>
      </c>
      <c r="M234" t="s">
        <v>21</v>
      </c>
    </row>
    <row r="235" spans="1:13" x14ac:dyDescent="0.3">
      <c r="A235" t="s">
        <v>262</v>
      </c>
      <c r="B235" s="1">
        <v>45319</v>
      </c>
      <c r="C235" s="1">
        <v>45323</v>
      </c>
      <c r="D235" s="6">
        <f t="shared" si="6"/>
        <v>4</v>
      </c>
      <c r="E235" t="s">
        <v>23</v>
      </c>
      <c r="F235" t="s">
        <v>31</v>
      </c>
      <c r="G235" t="s">
        <v>19</v>
      </c>
      <c r="H235" t="s">
        <v>20</v>
      </c>
      <c r="I235">
        <v>5</v>
      </c>
      <c r="J235" s="2">
        <v>228.27</v>
      </c>
      <c r="K235" s="2">
        <v>179.4</v>
      </c>
      <c r="L235" s="2">
        <f t="shared" si="7"/>
        <v>48.870000000000005</v>
      </c>
      <c r="M235" t="s">
        <v>16</v>
      </c>
    </row>
    <row r="236" spans="1:13" x14ac:dyDescent="0.3">
      <c r="A236" t="s">
        <v>263</v>
      </c>
      <c r="B236" s="1">
        <v>45560</v>
      </c>
      <c r="C236" s="1">
        <v>45570</v>
      </c>
      <c r="D236" s="6">
        <f t="shared" si="6"/>
        <v>10</v>
      </c>
      <c r="E236" t="s">
        <v>42</v>
      </c>
      <c r="F236" t="s">
        <v>27</v>
      </c>
      <c r="G236" t="s">
        <v>19</v>
      </c>
      <c r="H236" t="s">
        <v>20</v>
      </c>
      <c r="I236">
        <v>4</v>
      </c>
      <c r="J236" s="2">
        <v>1657.53</v>
      </c>
      <c r="K236" s="2">
        <v>1280.8599999999999</v>
      </c>
      <c r="L236" s="2">
        <f t="shared" si="7"/>
        <v>376.67000000000007</v>
      </c>
      <c r="M236" t="s">
        <v>16</v>
      </c>
    </row>
    <row r="237" spans="1:13" x14ac:dyDescent="0.3">
      <c r="A237" t="s">
        <v>264</v>
      </c>
      <c r="B237" s="1">
        <v>45376</v>
      </c>
      <c r="C237" s="1">
        <v>45382</v>
      </c>
      <c r="D237" s="6">
        <f t="shared" si="6"/>
        <v>6</v>
      </c>
      <c r="E237" t="s">
        <v>12</v>
      </c>
      <c r="F237" t="s">
        <v>31</v>
      </c>
      <c r="G237" t="s">
        <v>14</v>
      </c>
      <c r="H237" t="s">
        <v>25</v>
      </c>
      <c r="I237">
        <v>2</v>
      </c>
      <c r="J237" s="2">
        <v>653.53</v>
      </c>
      <c r="K237" s="2">
        <v>480.26</v>
      </c>
      <c r="L237" s="2">
        <f t="shared" si="7"/>
        <v>173.26999999999998</v>
      </c>
      <c r="M237" t="s">
        <v>16</v>
      </c>
    </row>
    <row r="238" spans="1:13" x14ac:dyDescent="0.3">
      <c r="A238" t="s">
        <v>265</v>
      </c>
      <c r="B238" s="1">
        <v>45302</v>
      </c>
      <c r="C238" s="1">
        <v>45304</v>
      </c>
      <c r="D238" s="6">
        <f t="shared" si="6"/>
        <v>2</v>
      </c>
      <c r="E238" t="s">
        <v>42</v>
      </c>
      <c r="F238" t="s">
        <v>13</v>
      </c>
      <c r="G238" t="s">
        <v>19</v>
      </c>
      <c r="H238" t="s">
        <v>25</v>
      </c>
      <c r="I238">
        <v>10</v>
      </c>
      <c r="J238" s="2">
        <v>1082.99</v>
      </c>
      <c r="K238" s="2">
        <v>803.19</v>
      </c>
      <c r="L238" s="2">
        <f t="shared" si="7"/>
        <v>279.79999999999995</v>
      </c>
      <c r="M238" t="s">
        <v>21</v>
      </c>
    </row>
    <row r="239" spans="1:13" x14ac:dyDescent="0.3">
      <c r="A239" t="s">
        <v>266</v>
      </c>
      <c r="B239" s="1">
        <v>45516</v>
      </c>
      <c r="C239" s="1">
        <v>45524</v>
      </c>
      <c r="D239" s="6">
        <f t="shared" si="6"/>
        <v>8</v>
      </c>
      <c r="E239" t="s">
        <v>18</v>
      </c>
      <c r="F239" t="s">
        <v>24</v>
      </c>
      <c r="G239" t="s">
        <v>14</v>
      </c>
      <c r="H239" t="s">
        <v>15</v>
      </c>
      <c r="I239">
        <v>9</v>
      </c>
      <c r="J239" s="2">
        <v>220.61</v>
      </c>
      <c r="K239" s="2">
        <v>156.12</v>
      </c>
      <c r="L239" s="2">
        <f t="shared" si="7"/>
        <v>64.490000000000009</v>
      </c>
      <c r="M239" t="s">
        <v>16</v>
      </c>
    </row>
    <row r="240" spans="1:13" x14ac:dyDescent="0.3">
      <c r="A240" t="s">
        <v>267</v>
      </c>
      <c r="B240" s="1">
        <v>45437</v>
      </c>
      <c r="C240" s="1">
        <v>45442</v>
      </c>
      <c r="D240" s="6">
        <f t="shared" si="6"/>
        <v>5</v>
      </c>
      <c r="E240" t="s">
        <v>12</v>
      </c>
      <c r="F240" t="s">
        <v>13</v>
      </c>
      <c r="G240" t="s">
        <v>19</v>
      </c>
      <c r="H240" t="s">
        <v>15</v>
      </c>
      <c r="I240">
        <v>8</v>
      </c>
      <c r="J240" s="2">
        <v>941.68</v>
      </c>
      <c r="K240" s="2">
        <v>578.19000000000005</v>
      </c>
      <c r="L240" s="2">
        <f t="shared" si="7"/>
        <v>363.4899999999999</v>
      </c>
      <c r="M240" t="s">
        <v>16</v>
      </c>
    </row>
    <row r="241" spans="1:13" x14ac:dyDescent="0.3">
      <c r="A241" t="s">
        <v>268</v>
      </c>
      <c r="B241" s="1">
        <v>45316</v>
      </c>
      <c r="C241" s="1">
        <v>45324</v>
      </c>
      <c r="D241" s="6">
        <f t="shared" si="6"/>
        <v>8</v>
      </c>
      <c r="E241" t="s">
        <v>18</v>
      </c>
      <c r="F241" t="s">
        <v>24</v>
      </c>
      <c r="G241" t="s">
        <v>19</v>
      </c>
      <c r="H241" t="s">
        <v>25</v>
      </c>
      <c r="I241">
        <v>10</v>
      </c>
      <c r="J241" s="2">
        <v>1572.43</v>
      </c>
      <c r="K241" s="2">
        <v>1117.99</v>
      </c>
      <c r="L241" s="2">
        <f t="shared" si="7"/>
        <v>454.44000000000005</v>
      </c>
      <c r="M241" t="s">
        <v>29</v>
      </c>
    </row>
    <row r="242" spans="1:13" x14ac:dyDescent="0.3">
      <c r="A242" t="s">
        <v>269</v>
      </c>
      <c r="B242" s="1">
        <v>45447</v>
      </c>
      <c r="C242" s="1">
        <v>45451</v>
      </c>
      <c r="D242" s="6">
        <f t="shared" si="6"/>
        <v>4</v>
      </c>
      <c r="E242" t="s">
        <v>23</v>
      </c>
      <c r="F242" t="s">
        <v>13</v>
      </c>
      <c r="G242" t="s">
        <v>19</v>
      </c>
      <c r="H242" t="s">
        <v>40</v>
      </c>
      <c r="I242">
        <v>2</v>
      </c>
      <c r="J242" s="2">
        <v>746.61</v>
      </c>
      <c r="K242" s="2">
        <v>548.09</v>
      </c>
      <c r="L242" s="2">
        <f t="shared" si="7"/>
        <v>198.51999999999998</v>
      </c>
      <c r="M242" t="s">
        <v>29</v>
      </c>
    </row>
    <row r="243" spans="1:13" x14ac:dyDescent="0.3">
      <c r="A243" t="s">
        <v>270</v>
      </c>
      <c r="B243" s="1">
        <v>45501</v>
      </c>
      <c r="C243" s="1">
        <v>45510</v>
      </c>
      <c r="D243" s="6">
        <f t="shared" si="6"/>
        <v>9</v>
      </c>
      <c r="E243" t="s">
        <v>18</v>
      </c>
      <c r="F243" t="s">
        <v>13</v>
      </c>
      <c r="G243" t="s">
        <v>14</v>
      </c>
      <c r="H243" t="s">
        <v>25</v>
      </c>
      <c r="I243">
        <v>3</v>
      </c>
      <c r="J243" s="2">
        <v>526.17999999999995</v>
      </c>
      <c r="K243" s="2">
        <v>445.77</v>
      </c>
      <c r="L243" s="2">
        <f t="shared" si="7"/>
        <v>80.409999999999968</v>
      </c>
      <c r="M243" t="s">
        <v>16</v>
      </c>
    </row>
    <row r="244" spans="1:13" x14ac:dyDescent="0.3">
      <c r="A244" t="s">
        <v>271</v>
      </c>
      <c r="B244" s="1">
        <v>45557</v>
      </c>
      <c r="C244" s="1">
        <v>45564</v>
      </c>
      <c r="D244" s="6">
        <f t="shared" si="6"/>
        <v>7</v>
      </c>
      <c r="E244" t="s">
        <v>18</v>
      </c>
      <c r="F244" t="s">
        <v>31</v>
      </c>
      <c r="G244" t="s">
        <v>14</v>
      </c>
      <c r="H244" t="s">
        <v>25</v>
      </c>
      <c r="I244">
        <v>4</v>
      </c>
      <c r="J244" s="2">
        <v>1691.99</v>
      </c>
      <c r="K244" s="2">
        <v>1348.42</v>
      </c>
      <c r="L244" s="2">
        <f t="shared" si="7"/>
        <v>343.56999999999994</v>
      </c>
      <c r="M244" t="s">
        <v>21</v>
      </c>
    </row>
    <row r="245" spans="1:13" x14ac:dyDescent="0.3">
      <c r="A245" t="s">
        <v>272</v>
      </c>
      <c r="B245" s="1">
        <v>45498</v>
      </c>
      <c r="C245" s="1">
        <v>45502</v>
      </c>
      <c r="D245" s="6">
        <f t="shared" si="6"/>
        <v>4</v>
      </c>
      <c r="E245" t="s">
        <v>23</v>
      </c>
      <c r="F245" t="s">
        <v>31</v>
      </c>
      <c r="G245" t="s">
        <v>19</v>
      </c>
      <c r="H245" t="s">
        <v>40</v>
      </c>
      <c r="I245">
        <v>6</v>
      </c>
      <c r="J245" s="2">
        <v>1668.27</v>
      </c>
      <c r="K245" s="2">
        <v>1407.51</v>
      </c>
      <c r="L245" s="2">
        <f t="shared" si="7"/>
        <v>260.76</v>
      </c>
      <c r="M245" t="s">
        <v>29</v>
      </c>
    </row>
    <row r="246" spans="1:13" x14ac:dyDescent="0.3">
      <c r="A246" t="s">
        <v>273</v>
      </c>
      <c r="B246" s="1">
        <v>45498</v>
      </c>
      <c r="C246" s="1">
        <v>45504</v>
      </c>
      <c r="D246" s="6">
        <f t="shared" si="6"/>
        <v>6</v>
      </c>
      <c r="E246" t="s">
        <v>23</v>
      </c>
      <c r="F246" t="s">
        <v>31</v>
      </c>
      <c r="G246" t="s">
        <v>19</v>
      </c>
      <c r="H246" t="s">
        <v>40</v>
      </c>
      <c r="I246">
        <v>9</v>
      </c>
      <c r="J246" s="2">
        <v>144.68</v>
      </c>
      <c r="K246" s="2">
        <v>120.87</v>
      </c>
      <c r="L246" s="2">
        <f t="shared" si="7"/>
        <v>23.810000000000002</v>
      </c>
      <c r="M246" t="s">
        <v>21</v>
      </c>
    </row>
    <row r="247" spans="1:13" x14ac:dyDescent="0.3">
      <c r="A247" t="s">
        <v>274</v>
      </c>
      <c r="B247" s="1">
        <v>45474</v>
      </c>
      <c r="C247" s="1">
        <v>45477</v>
      </c>
      <c r="D247" s="6">
        <f t="shared" si="6"/>
        <v>3</v>
      </c>
      <c r="E247" t="s">
        <v>42</v>
      </c>
      <c r="F247" t="s">
        <v>31</v>
      </c>
      <c r="G247" t="s">
        <v>14</v>
      </c>
      <c r="H247" t="s">
        <v>15</v>
      </c>
      <c r="I247">
        <v>2</v>
      </c>
      <c r="J247" s="2">
        <v>902.1</v>
      </c>
      <c r="K247" s="2">
        <v>666.49</v>
      </c>
      <c r="L247" s="2">
        <f t="shared" si="7"/>
        <v>235.61</v>
      </c>
      <c r="M247" t="s">
        <v>29</v>
      </c>
    </row>
    <row r="248" spans="1:13" x14ac:dyDescent="0.3">
      <c r="A248" t="s">
        <v>275</v>
      </c>
      <c r="B248" s="1">
        <v>45656</v>
      </c>
      <c r="C248" s="1">
        <v>45666</v>
      </c>
      <c r="D248" s="6">
        <f t="shared" si="6"/>
        <v>10</v>
      </c>
      <c r="E248" t="s">
        <v>12</v>
      </c>
      <c r="F248" t="s">
        <v>31</v>
      </c>
      <c r="G248" t="s">
        <v>19</v>
      </c>
      <c r="H248" t="s">
        <v>20</v>
      </c>
      <c r="I248">
        <v>1</v>
      </c>
      <c r="J248" s="2">
        <v>1003.43</v>
      </c>
      <c r="K248" s="2">
        <v>793.56</v>
      </c>
      <c r="L248" s="2">
        <f t="shared" si="7"/>
        <v>209.87</v>
      </c>
      <c r="M248" t="s">
        <v>21</v>
      </c>
    </row>
    <row r="249" spans="1:13" x14ac:dyDescent="0.3">
      <c r="A249" t="s">
        <v>276</v>
      </c>
      <c r="B249" s="1">
        <v>45538</v>
      </c>
      <c r="C249" s="1">
        <v>45546</v>
      </c>
      <c r="D249" s="6">
        <f t="shared" si="6"/>
        <v>8</v>
      </c>
      <c r="E249" t="s">
        <v>12</v>
      </c>
      <c r="F249" t="s">
        <v>31</v>
      </c>
      <c r="G249" t="s">
        <v>19</v>
      </c>
      <c r="H249" t="s">
        <v>25</v>
      </c>
      <c r="I249">
        <v>10</v>
      </c>
      <c r="J249" s="2">
        <v>1075.82</v>
      </c>
      <c r="K249" s="2">
        <v>809.1</v>
      </c>
      <c r="L249" s="2">
        <f t="shared" si="7"/>
        <v>266.71999999999991</v>
      </c>
      <c r="M249" t="s">
        <v>16</v>
      </c>
    </row>
    <row r="250" spans="1:13" x14ac:dyDescent="0.3">
      <c r="A250" t="s">
        <v>277</v>
      </c>
      <c r="B250" s="1">
        <v>45541</v>
      </c>
      <c r="C250" s="1">
        <v>45549</v>
      </c>
      <c r="D250" s="6">
        <f t="shared" si="6"/>
        <v>8</v>
      </c>
      <c r="E250" t="s">
        <v>18</v>
      </c>
      <c r="F250" t="s">
        <v>13</v>
      </c>
      <c r="G250" t="s">
        <v>14</v>
      </c>
      <c r="H250" t="s">
        <v>40</v>
      </c>
      <c r="I250">
        <v>10</v>
      </c>
      <c r="J250" s="2">
        <v>1301.67</v>
      </c>
      <c r="K250" s="2">
        <v>1104.6400000000001</v>
      </c>
      <c r="L250" s="2">
        <f t="shared" si="7"/>
        <v>197.02999999999997</v>
      </c>
      <c r="M250" t="s">
        <v>16</v>
      </c>
    </row>
    <row r="251" spans="1:13" x14ac:dyDescent="0.3">
      <c r="A251" t="s">
        <v>278</v>
      </c>
      <c r="B251" s="1">
        <v>45394</v>
      </c>
      <c r="C251" s="1">
        <v>45396</v>
      </c>
      <c r="D251" s="6">
        <f t="shared" si="6"/>
        <v>2</v>
      </c>
      <c r="E251" t="s">
        <v>42</v>
      </c>
      <c r="F251" t="s">
        <v>13</v>
      </c>
      <c r="G251" t="s">
        <v>19</v>
      </c>
      <c r="H251" t="s">
        <v>15</v>
      </c>
      <c r="I251">
        <v>2</v>
      </c>
      <c r="J251" s="2">
        <v>1390.81</v>
      </c>
      <c r="K251" s="2">
        <v>1084.42</v>
      </c>
      <c r="L251" s="2">
        <f t="shared" si="7"/>
        <v>306.38999999999987</v>
      </c>
      <c r="M251" t="s">
        <v>16</v>
      </c>
    </row>
    <row r="252" spans="1:13" x14ac:dyDescent="0.3">
      <c r="A252" t="s">
        <v>279</v>
      </c>
      <c r="B252" s="1">
        <v>45653</v>
      </c>
      <c r="C252" s="1">
        <v>45660</v>
      </c>
      <c r="D252" s="6">
        <f t="shared" si="6"/>
        <v>7</v>
      </c>
      <c r="E252" t="s">
        <v>42</v>
      </c>
      <c r="F252" t="s">
        <v>33</v>
      </c>
      <c r="G252" t="s">
        <v>14</v>
      </c>
      <c r="H252" t="s">
        <v>15</v>
      </c>
      <c r="I252">
        <v>10</v>
      </c>
      <c r="J252" s="2">
        <v>1176.56</v>
      </c>
      <c r="K252" s="2">
        <v>890.62</v>
      </c>
      <c r="L252" s="2">
        <f t="shared" si="7"/>
        <v>285.93999999999994</v>
      </c>
      <c r="M252" t="s">
        <v>29</v>
      </c>
    </row>
    <row r="253" spans="1:13" x14ac:dyDescent="0.3">
      <c r="A253" t="s">
        <v>280</v>
      </c>
      <c r="B253" s="1">
        <v>45516</v>
      </c>
      <c r="C253" s="1">
        <v>45525</v>
      </c>
      <c r="D253" s="6">
        <f t="shared" si="6"/>
        <v>9</v>
      </c>
      <c r="E253" t="s">
        <v>23</v>
      </c>
      <c r="F253" t="s">
        <v>27</v>
      </c>
      <c r="G253" t="s">
        <v>19</v>
      </c>
      <c r="H253" t="s">
        <v>25</v>
      </c>
      <c r="I253">
        <v>5</v>
      </c>
      <c r="J253" s="2">
        <v>1787.34</v>
      </c>
      <c r="K253" s="2">
        <v>1434.27</v>
      </c>
      <c r="L253" s="2">
        <f t="shared" si="7"/>
        <v>353.06999999999994</v>
      </c>
      <c r="M253" t="s">
        <v>16</v>
      </c>
    </row>
    <row r="254" spans="1:13" x14ac:dyDescent="0.3">
      <c r="A254" t="s">
        <v>281</v>
      </c>
      <c r="B254" s="1">
        <v>45403</v>
      </c>
      <c r="C254" s="1">
        <v>45406</v>
      </c>
      <c r="D254" s="6">
        <f t="shared" si="6"/>
        <v>3</v>
      </c>
      <c r="E254" t="s">
        <v>12</v>
      </c>
      <c r="F254" t="s">
        <v>24</v>
      </c>
      <c r="G254" t="s">
        <v>14</v>
      </c>
      <c r="H254" t="s">
        <v>20</v>
      </c>
      <c r="I254">
        <v>10</v>
      </c>
      <c r="J254" s="2">
        <v>1751.88</v>
      </c>
      <c r="K254" s="2">
        <v>1082.23</v>
      </c>
      <c r="L254" s="2">
        <f t="shared" si="7"/>
        <v>669.65000000000009</v>
      </c>
      <c r="M254" t="s">
        <v>16</v>
      </c>
    </row>
    <row r="255" spans="1:13" x14ac:dyDescent="0.3">
      <c r="A255" t="s">
        <v>282</v>
      </c>
      <c r="B255" s="1">
        <v>45391</v>
      </c>
      <c r="C255" s="1">
        <v>45393</v>
      </c>
      <c r="D255" s="6">
        <f t="shared" si="6"/>
        <v>2</v>
      </c>
      <c r="E255" t="s">
        <v>23</v>
      </c>
      <c r="F255" t="s">
        <v>33</v>
      </c>
      <c r="G255" t="s">
        <v>14</v>
      </c>
      <c r="H255" t="s">
        <v>25</v>
      </c>
      <c r="I255">
        <v>3</v>
      </c>
      <c r="J255" s="2">
        <v>344.51</v>
      </c>
      <c r="K255" s="2">
        <v>252.65</v>
      </c>
      <c r="L255" s="2">
        <f t="shared" si="7"/>
        <v>91.859999999999985</v>
      </c>
      <c r="M255" t="s">
        <v>16</v>
      </c>
    </row>
    <row r="256" spans="1:13" x14ac:dyDescent="0.3">
      <c r="A256" t="s">
        <v>283</v>
      </c>
      <c r="B256" s="1">
        <v>45443</v>
      </c>
      <c r="C256" s="1">
        <v>45445</v>
      </c>
      <c r="D256" s="6">
        <f t="shared" si="6"/>
        <v>2</v>
      </c>
      <c r="E256" t="s">
        <v>18</v>
      </c>
      <c r="F256" t="s">
        <v>24</v>
      </c>
      <c r="G256" t="s">
        <v>14</v>
      </c>
      <c r="H256" t="s">
        <v>25</v>
      </c>
      <c r="I256">
        <v>2</v>
      </c>
      <c r="J256" s="2">
        <v>305.64999999999998</v>
      </c>
      <c r="K256" s="2">
        <v>187.23</v>
      </c>
      <c r="L256" s="2">
        <f t="shared" si="7"/>
        <v>118.41999999999999</v>
      </c>
      <c r="M256" t="s">
        <v>29</v>
      </c>
    </row>
    <row r="257" spans="1:13" x14ac:dyDescent="0.3">
      <c r="A257" t="s">
        <v>284</v>
      </c>
      <c r="B257" s="1">
        <v>45316</v>
      </c>
      <c r="C257" s="1">
        <v>45325</v>
      </c>
      <c r="D257" s="6">
        <f t="shared" si="6"/>
        <v>9</v>
      </c>
      <c r="E257" t="s">
        <v>42</v>
      </c>
      <c r="F257" t="s">
        <v>31</v>
      </c>
      <c r="G257" t="s">
        <v>19</v>
      </c>
      <c r="H257" t="s">
        <v>40</v>
      </c>
      <c r="I257">
        <v>9</v>
      </c>
      <c r="J257" s="2">
        <v>1905.42</v>
      </c>
      <c r="K257" s="2">
        <v>1311.73</v>
      </c>
      <c r="L257" s="2">
        <f t="shared" si="7"/>
        <v>593.69000000000005</v>
      </c>
      <c r="M257" t="s">
        <v>16</v>
      </c>
    </row>
    <row r="258" spans="1:13" x14ac:dyDescent="0.3">
      <c r="A258" t="s">
        <v>285</v>
      </c>
      <c r="B258" s="1">
        <v>45322</v>
      </c>
      <c r="C258" s="1">
        <v>45329</v>
      </c>
      <c r="D258" s="6">
        <f t="shared" si="6"/>
        <v>7</v>
      </c>
      <c r="E258" t="s">
        <v>23</v>
      </c>
      <c r="F258" t="s">
        <v>33</v>
      </c>
      <c r="G258" t="s">
        <v>14</v>
      </c>
      <c r="H258" t="s">
        <v>25</v>
      </c>
      <c r="I258">
        <v>6</v>
      </c>
      <c r="J258" s="2">
        <v>1383.25</v>
      </c>
      <c r="K258" s="2">
        <v>1102.25</v>
      </c>
      <c r="L258" s="2">
        <f t="shared" si="7"/>
        <v>281</v>
      </c>
      <c r="M258" t="s">
        <v>21</v>
      </c>
    </row>
    <row r="259" spans="1:13" x14ac:dyDescent="0.3">
      <c r="A259" t="s">
        <v>286</v>
      </c>
      <c r="B259" s="1">
        <v>45519</v>
      </c>
      <c r="C259" s="1">
        <v>45529</v>
      </c>
      <c r="D259" s="6">
        <f t="shared" ref="D259:D322" si="8">C259-B259</f>
        <v>10</v>
      </c>
      <c r="E259" t="s">
        <v>18</v>
      </c>
      <c r="F259" t="s">
        <v>13</v>
      </c>
      <c r="G259" t="s">
        <v>19</v>
      </c>
      <c r="H259" t="s">
        <v>25</v>
      </c>
      <c r="I259">
        <v>4</v>
      </c>
      <c r="J259" s="2">
        <v>976.08</v>
      </c>
      <c r="K259" s="2">
        <v>782.38</v>
      </c>
      <c r="L259" s="2">
        <f t="shared" ref="L259:L322" si="9">J259-K259</f>
        <v>193.70000000000005</v>
      </c>
      <c r="M259" t="s">
        <v>29</v>
      </c>
    </row>
    <row r="260" spans="1:13" x14ac:dyDescent="0.3">
      <c r="A260" t="s">
        <v>287</v>
      </c>
      <c r="B260" s="1">
        <v>45445</v>
      </c>
      <c r="C260" s="1">
        <v>45453</v>
      </c>
      <c r="D260" s="6">
        <f t="shared" si="8"/>
        <v>8</v>
      </c>
      <c r="E260" t="s">
        <v>12</v>
      </c>
      <c r="F260" t="s">
        <v>13</v>
      </c>
      <c r="G260" t="s">
        <v>19</v>
      </c>
      <c r="H260" t="s">
        <v>20</v>
      </c>
      <c r="I260">
        <v>5</v>
      </c>
      <c r="J260" s="2">
        <v>1885.42</v>
      </c>
      <c r="K260" s="2">
        <v>1436.17</v>
      </c>
      <c r="L260" s="2">
        <f t="shared" si="9"/>
        <v>449.25</v>
      </c>
      <c r="M260" t="s">
        <v>21</v>
      </c>
    </row>
    <row r="261" spans="1:13" x14ac:dyDescent="0.3">
      <c r="A261" t="s">
        <v>288</v>
      </c>
      <c r="B261" s="1">
        <v>45545</v>
      </c>
      <c r="C261" s="1">
        <v>45551</v>
      </c>
      <c r="D261" s="6">
        <f t="shared" si="8"/>
        <v>6</v>
      </c>
      <c r="E261" t="s">
        <v>23</v>
      </c>
      <c r="F261" t="s">
        <v>33</v>
      </c>
      <c r="G261" t="s">
        <v>19</v>
      </c>
      <c r="H261" t="s">
        <v>40</v>
      </c>
      <c r="I261">
        <v>4</v>
      </c>
      <c r="J261" s="2">
        <v>743.4</v>
      </c>
      <c r="K261" s="2">
        <v>629.85</v>
      </c>
      <c r="L261" s="2">
        <f t="shared" si="9"/>
        <v>113.54999999999995</v>
      </c>
      <c r="M261" t="s">
        <v>16</v>
      </c>
    </row>
    <row r="262" spans="1:13" x14ac:dyDescent="0.3">
      <c r="A262" t="s">
        <v>289</v>
      </c>
      <c r="B262" s="1">
        <v>45361</v>
      </c>
      <c r="C262" s="1">
        <v>45369</v>
      </c>
      <c r="D262" s="6">
        <f t="shared" si="8"/>
        <v>8</v>
      </c>
      <c r="E262" t="s">
        <v>12</v>
      </c>
      <c r="F262" t="s">
        <v>13</v>
      </c>
      <c r="G262" t="s">
        <v>19</v>
      </c>
      <c r="H262" t="s">
        <v>40</v>
      </c>
      <c r="I262">
        <v>9</v>
      </c>
      <c r="J262" s="2">
        <v>1075.96</v>
      </c>
      <c r="K262" s="2">
        <v>686.81</v>
      </c>
      <c r="L262" s="2">
        <f t="shared" si="9"/>
        <v>389.15000000000009</v>
      </c>
      <c r="M262" t="s">
        <v>29</v>
      </c>
    </row>
    <row r="263" spans="1:13" x14ac:dyDescent="0.3">
      <c r="A263" t="s">
        <v>290</v>
      </c>
      <c r="B263" s="1">
        <v>45591</v>
      </c>
      <c r="C263" s="1">
        <v>45594</v>
      </c>
      <c r="D263" s="6">
        <f t="shared" si="8"/>
        <v>3</v>
      </c>
      <c r="E263" t="s">
        <v>42</v>
      </c>
      <c r="F263" t="s">
        <v>13</v>
      </c>
      <c r="G263" t="s">
        <v>19</v>
      </c>
      <c r="H263" t="s">
        <v>40</v>
      </c>
      <c r="I263">
        <v>5</v>
      </c>
      <c r="J263" s="2">
        <v>982.6</v>
      </c>
      <c r="K263" s="2">
        <v>685.14</v>
      </c>
      <c r="L263" s="2">
        <f t="shared" si="9"/>
        <v>297.46000000000004</v>
      </c>
      <c r="M263" t="s">
        <v>16</v>
      </c>
    </row>
    <row r="264" spans="1:13" x14ac:dyDescent="0.3">
      <c r="A264" t="s">
        <v>291</v>
      </c>
      <c r="B264" s="1">
        <v>45571</v>
      </c>
      <c r="C264" s="1">
        <v>45577</v>
      </c>
      <c r="D264" s="6">
        <f t="shared" si="8"/>
        <v>6</v>
      </c>
      <c r="E264" t="s">
        <v>23</v>
      </c>
      <c r="F264" t="s">
        <v>24</v>
      </c>
      <c r="G264" t="s">
        <v>14</v>
      </c>
      <c r="H264" t="s">
        <v>20</v>
      </c>
      <c r="I264">
        <v>3</v>
      </c>
      <c r="J264" s="2">
        <v>1145.99</v>
      </c>
      <c r="K264" s="2">
        <v>812.79</v>
      </c>
      <c r="L264" s="2">
        <f t="shared" si="9"/>
        <v>333.20000000000005</v>
      </c>
      <c r="M264" t="s">
        <v>29</v>
      </c>
    </row>
    <row r="265" spans="1:13" x14ac:dyDescent="0.3">
      <c r="A265" t="s">
        <v>292</v>
      </c>
      <c r="B265" s="1">
        <v>45569</v>
      </c>
      <c r="C265" s="1">
        <v>45575</v>
      </c>
      <c r="D265" s="6">
        <f t="shared" si="8"/>
        <v>6</v>
      </c>
      <c r="E265" t="s">
        <v>23</v>
      </c>
      <c r="F265" t="s">
        <v>31</v>
      </c>
      <c r="G265" t="s">
        <v>19</v>
      </c>
      <c r="H265" t="s">
        <v>40</v>
      </c>
      <c r="I265">
        <v>5</v>
      </c>
      <c r="J265" s="2">
        <v>974.19</v>
      </c>
      <c r="K265" s="2">
        <v>813.34</v>
      </c>
      <c r="L265" s="2">
        <f t="shared" si="9"/>
        <v>160.85000000000002</v>
      </c>
      <c r="M265" t="s">
        <v>21</v>
      </c>
    </row>
    <row r="266" spans="1:13" x14ac:dyDescent="0.3">
      <c r="A266" t="s">
        <v>293</v>
      </c>
      <c r="B266" s="1">
        <v>45373</v>
      </c>
      <c r="C266" s="1">
        <v>45375</v>
      </c>
      <c r="D266" s="6">
        <f t="shared" si="8"/>
        <v>2</v>
      </c>
      <c r="E266" t="s">
        <v>18</v>
      </c>
      <c r="F266" t="s">
        <v>31</v>
      </c>
      <c r="G266" t="s">
        <v>19</v>
      </c>
      <c r="H266" t="s">
        <v>15</v>
      </c>
      <c r="I266">
        <v>4</v>
      </c>
      <c r="J266" s="2">
        <v>192.95</v>
      </c>
      <c r="K266" s="2">
        <v>123.42</v>
      </c>
      <c r="L266" s="2">
        <f t="shared" si="9"/>
        <v>69.529999999999987</v>
      </c>
      <c r="M266" t="s">
        <v>16</v>
      </c>
    </row>
    <row r="267" spans="1:13" x14ac:dyDescent="0.3">
      <c r="A267" t="s">
        <v>294</v>
      </c>
      <c r="B267" s="1">
        <v>45601</v>
      </c>
      <c r="C267" s="1">
        <v>45609</v>
      </c>
      <c r="D267" s="6">
        <f t="shared" si="8"/>
        <v>8</v>
      </c>
      <c r="E267" t="s">
        <v>23</v>
      </c>
      <c r="F267" t="s">
        <v>24</v>
      </c>
      <c r="G267" t="s">
        <v>14</v>
      </c>
      <c r="H267" t="s">
        <v>15</v>
      </c>
      <c r="I267">
        <v>8</v>
      </c>
      <c r="J267" s="2">
        <v>1376.01</v>
      </c>
      <c r="K267" s="2">
        <v>1074.49</v>
      </c>
      <c r="L267" s="2">
        <f t="shared" si="9"/>
        <v>301.52</v>
      </c>
      <c r="M267" t="s">
        <v>29</v>
      </c>
    </row>
    <row r="268" spans="1:13" x14ac:dyDescent="0.3">
      <c r="A268" t="s">
        <v>295</v>
      </c>
      <c r="B268" s="1">
        <v>45314</v>
      </c>
      <c r="C268" s="1">
        <v>45316</v>
      </c>
      <c r="D268" s="6">
        <f t="shared" si="8"/>
        <v>2</v>
      </c>
      <c r="E268" t="s">
        <v>18</v>
      </c>
      <c r="F268" t="s">
        <v>33</v>
      </c>
      <c r="G268" t="s">
        <v>19</v>
      </c>
      <c r="H268" t="s">
        <v>20</v>
      </c>
      <c r="I268">
        <v>5</v>
      </c>
      <c r="J268" s="2">
        <v>468.55</v>
      </c>
      <c r="K268" s="2">
        <v>287.27999999999997</v>
      </c>
      <c r="L268" s="2">
        <f t="shared" si="9"/>
        <v>181.27000000000004</v>
      </c>
      <c r="M268" t="s">
        <v>21</v>
      </c>
    </row>
    <row r="269" spans="1:13" x14ac:dyDescent="0.3">
      <c r="A269" t="s">
        <v>296</v>
      </c>
      <c r="B269" s="1">
        <v>45504</v>
      </c>
      <c r="C269" s="1">
        <v>45507</v>
      </c>
      <c r="D269" s="6">
        <f t="shared" si="8"/>
        <v>3</v>
      </c>
      <c r="E269" t="s">
        <v>23</v>
      </c>
      <c r="F269" t="s">
        <v>24</v>
      </c>
      <c r="G269" t="s">
        <v>14</v>
      </c>
      <c r="H269" t="s">
        <v>40</v>
      </c>
      <c r="I269">
        <v>5</v>
      </c>
      <c r="J269" s="2">
        <v>1823.79</v>
      </c>
      <c r="K269" s="2">
        <v>1298.23</v>
      </c>
      <c r="L269" s="2">
        <f t="shared" si="9"/>
        <v>525.55999999999995</v>
      </c>
      <c r="M269" t="s">
        <v>29</v>
      </c>
    </row>
    <row r="270" spans="1:13" x14ac:dyDescent="0.3">
      <c r="A270" t="s">
        <v>297</v>
      </c>
      <c r="B270" s="1">
        <v>45292</v>
      </c>
      <c r="C270" s="1">
        <v>45294</v>
      </c>
      <c r="D270" s="6">
        <f t="shared" si="8"/>
        <v>2</v>
      </c>
      <c r="E270" t="s">
        <v>12</v>
      </c>
      <c r="F270" t="s">
        <v>33</v>
      </c>
      <c r="G270" t="s">
        <v>19</v>
      </c>
      <c r="H270" t="s">
        <v>25</v>
      </c>
      <c r="I270">
        <v>9</v>
      </c>
      <c r="J270" s="2">
        <v>997.54</v>
      </c>
      <c r="K270" s="2">
        <v>757.85</v>
      </c>
      <c r="L270" s="2">
        <f t="shared" si="9"/>
        <v>239.68999999999994</v>
      </c>
      <c r="M270" t="s">
        <v>21</v>
      </c>
    </row>
    <row r="271" spans="1:13" x14ac:dyDescent="0.3">
      <c r="A271" t="s">
        <v>298</v>
      </c>
      <c r="B271" s="1">
        <v>45318</v>
      </c>
      <c r="C271" s="1">
        <v>45322</v>
      </c>
      <c r="D271" s="6">
        <f t="shared" si="8"/>
        <v>4</v>
      </c>
      <c r="E271" t="s">
        <v>12</v>
      </c>
      <c r="F271" t="s">
        <v>13</v>
      </c>
      <c r="G271" t="s">
        <v>14</v>
      </c>
      <c r="H271" t="s">
        <v>20</v>
      </c>
      <c r="I271">
        <v>4</v>
      </c>
      <c r="J271" s="2">
        <v>971.3</v>
      </c>
      <c r="K271" s="2">
        <v>656.29</v>
      </c>
      <c r="L271" s="2">
        <f t="shared" si="9"/>
        <v>315.01</v>
      </c>
      <c r="M271" t="s">
        <v>21</v>
      </c>
    </row>
    <row r="272" spans="1:13" x14ac:dyDescent="0.3">
      <c r="A272" t="s">
        <v>299</v>
      </c>
      <c r="B272" s="1">
        <v>45598</v>
      </c>
      <c r="C272" s="1">
        <v>45602</v>
      </c>
      <c r="D272" s="6">
        <f t="shared" si="8"/>
        <v>4</v>
      </c>
      <c r="E272" t="s">
        <v>42</v>
      </c>
      <c r="F272" t="s">
        <v>24</v>
      </c>
      <c r="G272" t="s">
        <v>19</v>
      </c>
      <c r="H272" t="s">
        <v>25</v>
      </c>
      <c r="I272">
        <v>6</v>
      </c>
      <c r="J272" s="2">
        <v>108.03</v>
      </c>
      <c r="K272" s="2">
        <v>87.92</v>
      </c>
      <c r="L272" s="2">
        <f t="shared" si="9"/>
        <v>20.11</v>
      </c>
      <c r="M272" t="s">
        <v>29</v>
      </c>
    </row>
    <row r="273" spans="1:13" x14ac:dyDescent="0.3">
      <c r="A273" t="s">
        <v>300</v>
      </c>
      <c r="B273" s="1">
        <v>45427</v>
      </c>
      <c r="C273" s="1">
        <v>45437</v>
      </c>
      <c r="D273" s="6">
        <f t="shared" si="8"/>
        <v>10</v>
      </c>
      <c r="E273" t="s">
        <v>23</v>
      </c>
      <c r="F273" t="s">
        <v>13</v>
      </c>
      <c r="G273" t="s">
        <v>14</v>
      </c>
      <c r="H273" t="s">
        <v>40</v>
      </c>
      <c r="I273">
        <v>6</v>
      </c>
      <c r="J273" s="2">
        <v>1333.47</v>
      </c>
      <c r="K273" s="2">
        <v>1085.6400000000001</v>
      </c>
      <c r="L273" s="2">
        <f t="shared" si="9"/>
        <v>247.82999999999993</v>
      </c>
      <c r="M273" t="s">
        <v>21</v>
      </c>
    </row>
    <row r="274" spans="1:13" x14ac:dyDescent="0.3">
      <c r="A274" t="s">
        <v>301</v>
      </c>
      <c r="B274" s="1">
        <v>45344</v>
      </c>
      <c r="C274" s="1">
        <v>45350</v>
      </c>
      <c r="D274" s="6">
        <f t="shared" si="8"/>
        <v>6</v>
      </c>
      <c r="E274" t="s">
        <v>18</v>
      </c>
      <c r="F274" t="s">
        <v>13</v>
      </c>
      <c r="G274" t="s">
        <v>19</v>
      </c>
      <c r="H274" t="s">
        <v>15</v>
      </c>
      <c r="I274">
        <v>6</v>
      </c>
      <c r="J274" s="2">
        <v>686.59</v>
      </c>
      <c r="K274" s="2">
        <v>445.61</v>
      </c>
      <c r="L274" s="2">
        <f t="shared" si="9"/>
        <v>240.98000000000002</v>
      </c>
      <c r="M274" t="s">
        <v>16</v>
      </c>
    </row>
    <row r="275" spans="1:13" x14ac:dyDescent="0.3">
      <c r="A275" t="s">
        <v>302</v>
      </c>
      <c r="B275" s="1">
        <v>45600</v>
      </c>
      <c r="C275" s="1">
        <v>45610</v>
      </c>
      <c r="D275" s="6">
        <f t="shared" si="8"/>
        <v>10</v>
      </c>
      <c r="E275" t="s">
        <v>12</v>
      </c>
      <c r="F275" t="s">
        <v>31</v>
      </c>
      <c r="G275" t="s">
        <v>19</v>
      </c>
      <c r="H275" t="s">
        <v>40</v>
      </c>
      <c r="I275">
        <v>2</v>
      </c>
      <c r="J275" s="2">
        <v>275.77999999999997</v>
      </c>
      <c r="K275" s="2">
        <v>206.27</v>
      </c>
      <c r="L275" s="2">
        <f t="shared" si="9"/>
        <v>69.509999999999962</v>
      </c>
      <c r="M275" t="s">
        <v>16</v>
      </c>
    </row>
    <row r="276" spans="1:13" x14ac:dyDescent="0.3">
      <c r="A276" t="s">
        <v>303</v>
      </c>
      <c r="B276" s="1">
        <v>45572</v>
      </c>
      <c r="C276" s="1">
        <v>45575</v>
      </c>
      <c r="D276" s="6">
        <f t="shared" si="8"/>
        <v>3</v>
      </c>
      <c r="E276" t="s">
        <v>23</v>
      </c>
      <c r="F276" t="s">
        <v>13</v>
      </c>
      <c r="G276" t="s">
        <v>19</v>
      </c>
      <c r="H276" t="s">
        <v>15</v>
      </c>
      <c r="I276">
        <v>1</v>
      </c>
      <c r="J276" s="2">
        <v>1507.06</v>
      </c>
      <c r="K276" s="2">
        <v>983.43</v>
      </c>
      <c r="L276" s="2">
        <f t="shared" si="9"/>
        <v>523.63</v>
      </c>
      <c r="M276" t="s">
        <v>16</v>
      </c>
    </row>
    <row r="277" spans="1:13" x14ac:dyDescent="0.3">
      <c r="A277" t="s">
        <v>304</v>
      </c>
      <c r="B277" s="1">
        <v>45339</v>
      </c>
      <c r="C277" s="1">
        <v>45344</v>
      </c>
      <c r="D277" s="6">
        <f t="shared" si="8"/>
        <v>5</v>
      </c>
      <c r="E277" t="s">
        <v>12</v>
      </c>
      <c r="F277" t="s">
        <v>24</v>
      </c>
      <c r="G277" t="s">
        <v>14</v>
      </c>
      <c r="H277" t="s">
        <v>20</v>
      </c>
      <c r="I277">
        <v>1</v>
      </c>
      <c r="J277" s="2">
        <v>952.64</v>
      </c>
      <c r="K277" s="2">
        <v>588.65</v>
      </c>
      <c r="L277" s="2">
        <f t="shared" si="9"/>
        <v>363.99</v>
      </c>
      <c r="M277" t="s">
        <v>21</v>
      </c>
    </row>
    <row r="278" spans="1:13" x14ac:dyDescent="0.3">
      <c r="A278" t="s">
        <v>305</v>
      </c>
      <c r="B278" s="1">
        <v>45483</v>
      </c>
      <c r="C278" s="1">
        <v>45485</v>
      </c>
      <c r="D278" s="6">
        <f t="shared" si="8"/>
        <v>2</v>
      </c>
      <c r="E278" t="s">
        <v>23</v>
      </c>
      <c r="F278" t="s">
        <v>24</v>
      </c>
      <c r="G278" t="s">
        <v>19</v>
      </c>
      <c r="H278" t="s">
        <v>25</v>
      </c>
      <c r="I278">
        <v>9</v>
      </c>
      <c r="J278" s="2">
        <v>1788.34</v>
      </c>
      <c r="K278" s="2">
        <v>1468.38</v>
      </c>
      <c r="L278" s="2">
        <f t="shared" si="9"/>
        <v>319.95999999999981</v>
      </c>
      <c r="M278" t="s">
        <v>21</v>
      </c>
    </row>
    <row r="279" spans="1:13" x14ac:dyDescent="0.3">
      <c r="A279" t="s">
        <v>306</v>
      </c>
      <c r="B279" s="1">
        <v>45466</v>
      </c>
      <c r="C279" s="1">
        <v>45468</v>
      </c>
      <c r="D279" s="6">
        <f t="shared" si="8"/>
        <v>2</v>
      </c>
      <c r="E279" t="s">
        <v>42</v>
      </c>
      <c r="F279" t="s">
        <v>27</v>
      </c>
      <c r="G279" t="s">
        <v>14</v>
      </c>
      <c r="H279" t="s">
        <v>15</v>
      </c>
      <c r="I279">
        <v>6</v>
      </c>
      <c r="J279" s="2">
        <v>315.23</v>
      </c>
      <c r="K279" s="2">
        <v>251.24</v>
      </c>
      <c r="L279" s="2">
        <f t="shared" si="9"/>
        <v>63.990000000000009</v>
      </c>
      <c r="M279" t="s">
        <v>16</v>
      </c>
    </row>
    <row r="280" spans="1:13" x14ac:dyDescent="0.3">
      <c r="A280" t="s">
        <v>307</v>
      </c>
      <c r="B280" s="1">
        <v>45613</v>
      </c>
      <c r="C280" s="1">
        <v>45615</v>
      </c>
      <c r="D280" s="6">
        <f t="shared" si="8"/>
        <v>2</v>
      </c>
      <c r="E280" t="s">
        <v>18</v>
      </c>
      <c r="F280" t="s">
        <v>31</v>
      </c>
      <c r="G280" t="s">
        <v>14</v>
      </c>
      <c r="H280" t="s">
        <v>15</v>
      </c>
      <c r="I280">
        <v>10</v>
      </c>
      <c r="J280" s="2">
        <v>1885.5</v>
      </c>
      <c r="K280" s="2">
        <v>1333.59</v>
      </c>
      <c r="L280" s="2">
        <f t="shared" si="9"/>
        <v>551.91000000000008</v>
      </c>
      <c r="M280" t="s">
        <v>29</v>
      </c>
    </row>
    <row r="281" spans="1:13" x14ac:dyDescent="0.3">
      <c r="A281" t="s">
        <v>308</v>
      </c>
      <c r="B281" s="1">
        <v>45643</v>
      </c>
      <c r="C281" s="1">
        <v>45651</v>
      </c>
      <c r="D281" s="6">
        <f t="shared" si="8"/>
        <v>8</v>
      </c>
      <c r="E281" t="s">
        <v>23</v>
      </c>
      <c r="F281" t="s">
        <v>24</v>
      </c>
      <c r="G281" t="s">
        <v>19</v>
      </c>
      <c r="H281" t="s">
        <v>20</v>
      </c>
      <c r="I281">
        <v>5</v>
      </c>
      <c r="J281" s="2">
        <v>1969.21</v>
      </c>
      <c r="K281" s="2">
        <v>1353.34</v>
      </c>
      <c r="L281" s="2">
        <f t="shared" si="9"/>
        <v>615.87000000000012</v>
      </c>
      <c r="M281" t="s">
        <v>16</v>
      </c>
    </row>
    <row r="282" spans="1:13" x14ac:dyDescent="0.3">
      <c r="A282" t="s">
        <v>309</v>
      </c>
      <c r="B282" s="1">
        <v>45451</v>
      </c>
      <c r="C282" s="1">
        <v>45453</v>
      </c>
      <c r="D282" s="6">
        <f t="shared" si="8"/>
        <v>2</v>
      </c>
      <c r="E282" t="s">
        <v>18</v>
      </c>
      <c r="F282" t="s">
        <v>13</v>
      </c>
      <c r="G282" t="s">
        <v>19</v>
      </c>
      <c r="H282" t="s">
        <v>20</v>
      </c>
      <c r="I282">
        <v>9</v>
      </c>
      <c r="J282" s="2">
        <v>1547.63</v>
      </c>
      <c r="K282" s="2">
        <v>1085.68</v>
      </c>
      <c r="L282" s="2">
        <f t="shared" si="9"/>
        <v>461.95000000000005</v>
      </c>
      <c r="M282" t="s">
        <v>21</v>
      </c>
    </row>
    <row r="283" spans="1:13" x14ac:dyDescent="0.3">
      <c r="A283" t="s">
        <v>310</v>
      </c>
      <c r="B283" s="1">
        <v>45573</v>
      </c>
      <c r="C283" s="1">
        <v>45575</v>
      </c>
      <c r="D283" s="6">
        <f t="shared" si="8"/>
        <v>2</v>
      </c>
      <c r="E283" t="s">
        <v>42</v>
      </c>
      <c r="F283" t="s">
        <v>27</v>
      </c>
      <c r="G283" t="s">
        <v>19</v>
      </c>
      <c r="H283" t="s">
        <v>40</v>
      </c>
      <c r="I283">
        <v>10</v>
      </c>
      <c r="J283" s="2">
        <v>221.44</v>
      </c>
      <c r="K283" s="2">
        <v>177.7</v>
      </c>
      <c r="L283" s="2">
        <f t="shared" si="9"/>
        <v>43.740000000000009</v>
      </c>
      <c r="M283" t="s">
        <v>29</v>
      </c>
    </row>
    <row r="284" spans="1:13" x14ac:dyDescent="0.3">
      <c r="A284" t="s">
        <v>311</v>
      </c>
      <c r="B284" s="1">
        <v>45624</v>
      </c>
      <c r="C284" s="1">
        <v>45634</v>
      </c>
      <c r="D284" s="6">
        <f t="shared" si="8"/>
        <v>10</v>
      </c>
      <c r="E284" t="s">
        <v>12</v>
      </c>
      <c r="F284" t="s">
        <v>27</v>
      </c>
      <c r="G284" t="s">
        <v>14</v>
      </c>
      <c r="H284" t="s">
        <v>15</v>
      </c>
      <c r="I284">
        <v>1</v>
      </c>
      <c r="J284" s="2">
        <v>914.01</v>
      </c>
      <c r="K284" s="2">
        <v>735.3</v>
      </c>
      <c r="L284" s="2">
        <f t="shared" si="9"/>
        <v>178.71000000000004</v>
      </c>
      <c r="M284" t="s">
        <v>29</v>
      </c>
    </row>
    <row r="285" spans="1:13" x14ac:dyDescent="0.3">
      <c r="A285" t="s">
        <v>312</v>
      </c>
      <c r="B285" s="1">
        <v>45359</v>
      </c>
      <c r="C285" s="1">
        <v>45362</v>
      </c>
      <c r="D285" s="6">
        <f t="shared" si="8"/>
        <v>3</v>
      </c>
      <c r="E285" t="s">
        <v>12</v>
      </c>
      <c r="F285" t="s">
        <v>13</v>
      </c>
      <c r="G285" t="s">
        <v>14</v>
      </c>
      <c r="H285" t="s">
        <v>15</v>
      </c>
      <c r="I285">
        <v>2</v>
      </c>
      <c r="J285" s="2">
        <v>998.73</v>
      </c>
      <c r="K285" s="2">
        <v>776.69</v>
      </c>
      <c r="L285" s="2">
        <f t="shared" si="9"/>
        <v>222.03999999999996</v>
      </c>
      <c r="M285" t="s">
        <v>21</v>
      </c>
    </row>
    <row r="286" spans="1:13" x14ac:dyDescent="0.3">
      <c r="A286" t="s">
        <v>313</v>
      </c>
      <c r="B286" s="1">
        <v>45441</v>
      </c>
      <c r="C286" s="1">
        <v>45445</v>
      </c>
      <c r="D286" s="6">
        <f t="shared" si="8"/>
        <v>4</v>
      </c>
      <c r="E286" t="s">
        <v>42</v>
      </c>
      <c r="F286" t="s">
        <v>33</v>
      </c>
      <c r="G286" t="s">
        <v>19</v>
      </c>
      <c r="H286" t="s">
        <v>40</v>
      </c>
      <c r="I286">
        <v>6</v>
      </c>
      <c r="J286" s="2">
        <v>483.45</v>
      </c>
      <c r="K286" s="2">
        <v>372.11</v>
      </c>
      <c r="L286" s="2">
        <f t="shared" si="9"/>
        <v>111.33999999999997</v>
      </c>
      <c r="M286" t="s">
        <v>16</v>
      </c>
    </row>
    <row r="287" spans="1:13" x14ac:dyDescent="0.3">
      <c r="A287" t="s">
        <v>314</v>
      </c>
      <c r="B287" s="1">
        <v>45308</v>
      </c>
      <c r="C287" s="1">
        <v>45317</v>
      </c>
      <c r="D287" s="6">
        <f t="shared" si="8"/>
        <v>9</v>
      </c>
      <c r="E287" t="s">
        <v>12</v>
      </c>
      <c r="F287" t="s">
        <v>27</v>
      </c>
      <c r="G287" t="s">
        <v>19</v>
      </c>
      <c r="H287" t="s">
        <v>40</v>
      </c>
      <c r="I287">
        <v>5</v>
      </c>
      <c r="J287" s="2">
        <v>1015</v>
      </c>
      <c r="K287" s="2">
        <v>808.53</v>
      </c>
      <c r="L287" s="2">
        <f t="shared" si="9"/>
        <v>206.47000000000003</v>
      </c>
      <c r="M287" t="s">
        <v>16</v>
      </c>
    </row>
    <row r="288" spans="1:13" x14ac:dyDescent="0.3">
      <c r="A288" t="s">
        <v>315</v>
      </c>
      <c r="B288" s="1">
        <v>45593</v>
      </c>
      <c r="C288" s="1">
        <v>45601</v>
      </c>
      <c r="D288" s="6">
        <f t="shared" si="8"/>
        <v>8</v>
      </c>
      <c r="E288" t="s">
        <v>42</v>
      </c>
      <c r="F288" t="s">
        <v>27</v>
      </c>
      <c r="G288" t="s">
        <v>19</v>
      </c>
      <c r="H288" t="s">
        <v>40</v>
      </c>
      <c r="I288">
        <v>8</v>
      </c>
      <c r="J288" s="2">
        <v>1813.32</v>
      </c>
      <c r="K288" s="2">
        <v>1214.8399999999999</v>
      </c>
      <c r="L288" s="2">
        <f t="shared" si="9"/>
        <v>598.48</v>
      </c>
      <c r="M288" t="s">
        <v>29</v>
      </c>
    </row>
    <row r="289" spans="1:13" x14ac:dyDescent="0.3">
      <c r="A289" t="s">
        <v>316</v>
      </c>
      <c r="B289" s="1">
        <v>45656</v>
      </c>
      <c r="C289" s="1">
        <v>45666</v>
      </c>
      <c r="D289" s="6">
        <f t="shared" si="8"/>
        <v>10</v>
      </c>
      <c r="E289" t="s">
        <v>23</v>
      </c>
      <c r="F289" t="s">
        <v>24</v>
      </c>
      <c r="G289" t="s">
        <v>14</v>
      </c>
      <c r="H289" t="s">
        <v>40</v>
      </c>
      <c r="I289">
        <v>8</v>
      </c>
      <c r="J289" s="2">
        <v>1575.23</v>
      </c>
      <c r="K289" s="2">
        <v>1278.81</v>
      </c>
      <c r="L289" s="2">
        <f t="shared" si="9"/>
        <v>296.42000000000007</v>
      </c>
      <c r="M289" t="s">
        <v>16</v>
      </c>
    </row>
    <row r="290" spans="1:13" x14ac:dyDescent="0.3">
      <c r="A290" t="s">
        <v>317</v>
      </c>
      <c r="B290" s="1">
        <v>45382</v>
      </c>
      <c r="C290" s="1">
        <v>45389</v>
      </c>
      <c r="D290" s="6">
        <f t="shared" si="8"/>
        <v>7</v>
      </c>
      <c r="E290" t="s">
        <v>18</v>
      </c>
      <c r="F290" t="s">
        <v>27</v>
      </c>
      <c r="G290" t="s">
        <v>14</v>
      </c>
      <c r="H290" t="s">
        <v>25</v>
      </c>
      <c r="I290">
        <v>7</v>
      </c>
      <c r="J290" s="2">
        <v>1307.3699999999999</v>
      </c>
      <c r="K290" s="2">
        <v>820.09</v>
      </c>
      <c r="L290" s="2">
        <f t="shared" si="9"/>
        <v>487.27999999999986</v>
      </c>
      <c r="M290" t="s">
        <v>16</v>
      </c>
    </row>
    <row r="291" spans="1:13" x14ac:dyDescent="0.3">
      <c r="A291" t="s">
        <v>318</v>
      </c>
      <c r="B291" s="1">
        <v>45441</v>
      </c>
      <c r="C291" s="1">
        <v>45443</v>
      </c>
      <c r="D291" s="6">
        <f t="shared" si="8"/>
        <v>2</v>
      </c>
      <c r="E291" t="s">
        <v>42</v>
      </c>
      <c r="F291" t="s">
        <v>13</v>
      </c>
      <c r="G291" t="s">
        <v>14</v>
      </c>
      <c r="H291" t="s">
        <v>20</v>
      </c>
      <c r="I291">
        <v>1</v>
      </c>
      <c r="J291" s="2">
        <v>1972.07</v>
      </c>
      <c r="K291" s="2">
        <v>1366.62</v>
      </c>
      <c r="L291" s="2">
        <f t="shared" si="9"/>
        <v>605.45000000000005</v>
      </c>
      <c r="M291" t="s">
        <v>16</v>
      </c>
    </row>
    <row r="292" spans="1:13" x14ac:dyDescent="0.3">
      <c r="A292" t="s">
        <v>319</v>
      </c>
      <c r="B292" s="1">
        <v>45437</v>
      </c>
      <c r="C292" s="1">
        <v>45446</v>
      </c>
      <c r="D292" s="6">
        <f t="shared" si="8"/>
        <v>9</v>
      </c>
      <c r="E292" t="s">
        <v>12</v>
      </c>
      <c r="F292" t="s">
        <v>33</v>
      </c>
      <c r="G292" t="s">
        <v>14</v>
      </c>
      <c r="H292" t="s">
        <v>15</v>
      </c>
      <c r="I292">
        <v>2</v>
      </c>
      <c r="J292" s="2">
        <v>470.94</v>
      </c>
      <c r="K292" s="2">
        <v>379.81</v>
      </c>
      <c r="L292" s="2">
        <f t="shared" si="9"/>
        <v>91.13</v>
      </c>
      <c r="M292" t="s">
        <v>29</v>
      </c>
    </row>
    <row r="293" spans="1:13" x14ac:dyDescent="0.3">
      <c r="A293" t="s">
        <v>320</v>
      </c>
      <c r="B293" s="1">
        <v>45655</v>
      </c>
      <c r="C293" s="1">
        <v>45663</v>
      </c>
      <c r="D293" s="6">
        <f t="shared" si="8"/>
        <v>8</v>
      </c>
      <c r="E293" t="s">
        <v>23</v>
      </c>
      <c r="F293" t="s">
        <v>31</v>
      </c>
      <c r="G293" t="s">
        <v>19</v>
      </c>
      <c r="H293" t="s">
        <v>25</v>
      </c>
      <c r="I293">
        <v>3</v>
      </c>
      <c r="J293" s="2">
        <v>851.76</v>
      </c>
      <c r="K293" s="2">
        <v>655.35</v>
      </c>
      <c r="L293" s="2">
        <f t="shared" si="9"/>
        <v>196.40999999999997</v>
      </c>
      <c r="M293" t="s">
        <v>21</v>
      </c>
    </row>
    <row r="294" spans="1:13" x14ac:dyDescent="0.3">
      <c r="A294" t="s">
        <v>321</v>
      </c>
      <c r="B294" s="1">
        <v>45589</v>
      </c>
      <c r="C294" s="1">
        <v>45592</v>
      </c>
      <c r="D294" s="6">
        <f t="shared" si="8"/>
        <v>3</v>
      </c>
      <c r="E294" t="s">
        <v>23</v>
      </c>
      <c r="F294" t="s">
        <v>33</v>
      </c>
      <c r="G294" t="s">
        <v>14</v>
      </c>
      <c r="H294" t="s">
        <v>40</v>
      </c>
      <c r="I294">
        <v>6</v>
      </c>
      <c r="J294" s="2">
        <v>1014.87</v>
      </c>
      <c r="K294" s="2">
        <v>758.43</v>
      </c>
      <c r="L294" s="2">
        <f t="shared" si="9"/>
        <v>256.44000000000005</v>
      </c>
      <c r="M294" t="s">
        <v>16</v>
      </c>
    </row>
    <row r="295" spans="1:13" x14ac:dyDescent="0.3">
      <c r="A295" t="s">
        <v>322</v>
      </c>
      <c r="B295" s="1">
        <v>45322</v>
      </c>
      <c r="C295" s="1">
        <v>45324</v>
      </c>
      <c r="D295" s="6">
        <f t="shared" si="8"/>
        <v>2</v>
      </c>
      <c r="E295" t="s">
        <v>12</v>
      </c>
      <c r="F295" t="s">
        <v>24</v>
      </c>
      <c r="G295" t="s">
        <v>19</v>
      </c>
      <c r="H295" t="s">
        <v>15</v>
      </c>
      <c r="I295">
        <v>8</v>
      </c>
      <c r="J295" s="2">
        <v>1299.56</v>
      </c>
      <c r="K295" s="2">
        <v>851.66</v>
      </c>
      <c r="L295" s="2">
        <f t="shared" si="9"/>
        <v>447.9</v>
      </c>
      <c r="M295" t="s">
        <v>16</v>
      </c>
    </row>
    <row r="296" spans="1:13" x14ac:dyDescent="0.3">
      <c r="A296" t="s">
        <v>323</v>
      </c>
      <c r="B296" s="1">
        <v>45445</v>
      </c>
      <c r="C296" s="1">
        <v>45451</v>
      </c>
      <c r="D296" s="6">
        <f t="shared" si="8"/>
        <v>6</v>
      </c>
      <c r="E296" t="s">
        <v>23</v>
      </c>
      <c r="F296" t="s">
        <v>27</v>
      </c>
      <c r="G296" t="s">
        <v>14</v>
      </c>
      <c r="H296" t="s">
        <v>40</v>
      </c>
      <c r="I296">
        <v>8</v>
      </c>
      <c r="J296" s="2">
        <v>165.68</v>
      </c>
      <c r="K296" s="2">
        <v>125.36</v>
      </c>
      <c r="L296" s="2">
        <f t="shared" si="9"/>
        <v>40.320000000000007</v>
      </c>
      <c r="M296" t="s">
        <v>21</v>
      </c>
    </row>
    <row r="297" spans="1:13" x14ac:dyDescent="0.3">
      <c r="A297" t="s">
        <v>324</v>
      </c>
      <c r="B297" s="1">
        <v>45310</v>
      </c>
      <c r="C297" s="1">
        <v>45317</v>
      </c>
      <c r="D297" s="6">
        <f t="shared" si="8"/>
        <v>7</v>
      </c>
      <c r="E297" t="s">
        <v>42</v>
      </c>
      <c r="F297" t="s">
        <v>33</v>
      </c>
      <c r="G297" t="s">
        <v>14</v>
      </c>
      <c r="H297" t="s">
        <v>20</v>
      </c>
      <c r="I297">
        <v>9</v>
      </c>
      <c r="J297" s="2">
        <v>162.27000000000001</v>
      </c>
      <c r="K297" s="2">
        <v>121.37</v>
      </c>
      <c r="L297" s="2">
        <f t="shared" si="9"/>
        <v>40.900000000000006</v>
      </c>
      <c r="M297" t="s">
        <v>29</v>
      </c>
    </row>
    <row r="298" spans="1:13" x14ac:dyDescent="0.3">
      <c r="A298" t="s">
        <v>325</v>
      </c>
      <c r="B298" s="1">
        <v>45597</v>
      </c>
      <c r="C298" s="1">
        <v>45606</v>
      </c>
      <c r="D298" s="6">
        <f t="shared" si="8"/>
        <v>9</v>
      </c>
      <c r="E298" t="s">
        <v>18</v>
      </c>
      <c r="F298" t="s">
        <v>33</v>
      </c>
      <c r="G298" t="s">
        <v>14</v>
      </c>
      <c r="H298" t="s">
        <v>20</v>
      </c>
      <c r="I298">
        <v>8</v>
      </c>
      <c r="J298" s="2">
        <v>1432.85</v>
      </c>
      <c r="K298" s="2">
        <v>1154.53</v>
      </c>
      <c r="L298" s="2">
        <f t="shared" si="9"/>
        <v>278.31999999999994</v>
      </c>
      <c r="M298" t="s">
        <v>16</v>
      </c>
    </row>
    <row r="299" spans="1:13" x14ac:dyDescent="0.3">
      <c r="A299" t="s">
        <v>326</v>
      </c>
      <c r="B299" s="1">
        <v>45374</v>
      </c>
      <c r="C299" s="1">
        <v>45381</v>
      </c>
      <c r="D299" s="6">
        <f t="shared" si="8"/>
        <v>7</v>
      </c>
      <c r="E299" t="s">
        <v>23</v>
      </c>
      <c r="F299" t="s">
        <v>31</v>
      </c>
      <c r="G299" t="s">
        <v>14</v>
      </c>
      <c r="H299" t="s">
        <v>20</v>
      </c>
      <c r="I299">
        <v>6</v>
      </c>
      <c r="J299" s="2">
        <v>858.35</v>
      </c>
      <c r="K299" s="2">
        <v>694.1</v>
      </c>
      <c r="L299" s="2">
        <f t="shared" si="9"/>
        <v>164.25</v>
      </c>
      <c r="M299" t="s">
        <v>21</v>
      </c>
    </row>
    <row r="300" spans="1:13" x14ac:dyDescent="0.3">
      <c r="A300" t="s">
        <v>327</v>
      </c>
      <c r="B300" s="1">
        <v>45302</v>
      </c>
      <c r="C300" s="1">
        <v>45308</v>
      </c>
      <c r="D300" s="6">
        <f t="shared" si="8"/>
        <v>6</v>
      </c>
      <c r="E300" t="s">
        <v>23</v>
      </c>
      <c r="F300" t="s">
        <v>27</v>
      </c>
      <c r="G300" t="s">
        <v>19</v>
      </c>
      <c r="H300" t="s">
        <v>20</v>
      </c>
      <c r="I300">
        <v>3</v>
      </c>
      <c r="J300" s="2">
        <v>1044.1400000000001</v>
      </c>
      <c r="K300" s="2">
        <v>881.07</v>
      </c>
      <c r="L300" s="2">
        <f t="shared" si="9"/>
        <v>163.07000000000005</v>
      </c>
      <c r="M300" t="s">
        <v>16</v>
      </c>
    </row>
    <row r="301" spans="1:13" x14ac:dyDescent="0.3">
      <c r="A301" t="s">
        <v>328</v>
      </c>
      <c r="B301" s="1">
        <v>45338</v>
      </c>
      <c r="C301" s="1">
        <v>45348</v>
      </c>
      <c r="D301" s="6">
        <f t="shared" si="8"/>
        <v>10</v>
      </c>
      <c r="E301" t="s">
        <v>18</v>
      </c>
      <c r="F301" t="s">
        <v>31</v>
      </c>
      <c r="G301" t="s">
        <v>14</v>
      </c>
      <c r="H301" t="s">
        <v>20</v>
      </c>
      <c r="I301">
        <v>5</v>
      </c>
      <c r="J301" s="2">
        <v>1416.66</v>
      </c>
      <c r="K301" s="2">
        <v>1102.3699999999999</v>
      </c>
      <c r="L301" s="2">
        <f t="shared" si="9"/>
        <v>314.29000000000019</v>
      </c>
      <c r="M301" t="s">
        <v>29</v>
      </c>
    </row>
    <row r="302" spans="1:13" x14ac:dyDescent="0.3">
      <c r="A302" t="s">
        <v>329</v>
      </c>
      <c r="B302" s="1">
        <v>45493</v>
      </c>
      <c r="C302" s="1">
        <v>45501</v>
      </c>
      <c r="D302" s="6">
        <f t="shared" si="8"/>
        <v>8</v>
      </c>
      <c r="E302" t="s">
        <v>23</v>
      </c>
      <c r="F302" t="s">
        <v>24</v>
      </c>
      <c r="G302" t="s">
        <v>19</v>
      </c>
      <c r="H302" t="s">
        <v>15</v>
      </c>
      <c r="I302">
        <v>6</v>
      </c>
      <c r="J302" s="2">
        <v>632.32000000000005</v>
      </c>
      <c r="K302" s="2">
        <v>469.52</v>
      </c>
      <c r="L302" s="2">
        <f t="shared" si="9"/>
        <v>162.80000000000007</v>
      </c>
      <c r="M302" t="s">
        <v>16</v>
      </c>
    </row>
    <row r="303" spans="1:13" x14ac:dyDescent="0.3">
      <c r="A303" t="s">
        <v>330</v>
      </c>
      <c r="B303" s="1">
        <v>45650</v>
      </c>
      <c r="C303" s="1">
        <v>45659</v>
      </c>
      <c r="D303" s="6">
        <f t="shared" si="8"/>
        <v>9</v>
      </c>
      <c r="E303" t="s">
        <v>12</v>
      </c>
      <c r="F303" t="s">
        <v>13</v>
      </c>
      <c r="G303" t="s">
        <v>19</v>
      </c>
      <c r="H303" t="s">
        <v>20</v>
      </c>
      <c r="I303">
        <v>3</v>
      </c>
      <c r="J303" s="2">
        <v>309.56</v>
      </c>
      <c r="K303" s="2">
        <v>198.14</v>
      </c>
      <c r="L303" s="2">
        <f t="shared" si="9"/>
        <v>111.42000000000002</v>
      </c>
      <c r="M303" t="s">
        <v>21</v>
      </c>
    </row>
    <row r="304" spans="1:13" x14ac:dyDescent="0.3">
      <c r="A304" t="s">
        <v>331</v>
      </c>
      <c r="B304" s="1">
        <v>45350</v>
      </c>
      <c r="C304" s="1">
        <v>45353</v>
      </c>
      <c r="D304" s="6">
        <f t="shared" si="8"/>
        <v>3</v>
      </c>
      <c r="E304" t="s">
        <v>12</v>
      </c>
      <c r="F304" t="s">
        <v>31</v>
      </c>
      <c r="G304" t="s">
        <v>19</v>
      </c>
      <c r="H304" t="s">
        <v>25</v>
      </c>
      <c r="I304">
        <v>1</v>
      </c>
      <c r="J304" s="2">
        <v>1573.38</v>
      </c>
      <c r="K304" s="2">
        <v>1294.82</v>
      </c>
      <c r="L304" s="2">
        <f t="shared" si="9"/>
        <v>278.56000000000017</v>
      </c>
      <c r="M304" t="s">
        <v>21</v>
      </c>
    </row>
    <row r="305" spans="1:13" x14ac:dyDescent="0.3">
      <c r="A305" t="s">
        <v>332</v>
      </c>
      <c r="B305" s="1">
        <v>45535</v>
      </c>
      <c r="C305" s="1">
        <v>45540</v>
      </c>
      <c r="D305" s="6">
        <f t="shared" si="8"/>
        <v>5</v>
      </c>
      <c r="E305" t="s">
        <v>23</v>
      </c>
      <c r="F305" t="s">
        <v>24</v>
      </c>
      <c r="G305" t="s">
        <v>14</v>
      </c>
      <c r="H305" t="s">
        <v>40</v>
      </c>
      <c r="I305">
        <v>1</v>
      </c>
      <c r="J305" s="2">
        <v>1539.68</v>
      </c>
      <c r="K305" s="2">
        <v>1240.68</v>
      </c>
      <c r="L305" s="2">
        <f t="shared" si="9"/>
        <v>299</v>
      </c>
      <c r="M305" t="s">
        <v>21</v>
      </c>
    </row>
    <row r="306" spans="1:13" x14ac:dyDescent="0.3">
      <c r="A306" t="s">
        <v>333</v>
      </c>
      <c r="B306" s="1">
        <v>45577</v>
      </c>
      <c r="C306" s="1">
        <v>45584</v>
      </c>
      <c r="D306" s="6">
        <f t="shared" si="8"/>
        <v>7</v>
      </c>
      <c r="E306" t="s">
        <v>12</v>
      </c>
      <c r="F306" t="s">
        <v>13</v>
      </c>
      <c r="G306" t="s">
        <v>14</v>
      </c>
      <c r="H306" t="s">
        <v>15</v>
      </c>
      <c r="I306">
        <v>4</v>
      </c>
      <c r="J306" s="2">
        <v>1947.26</v>
      </c>
      <c r="K306" s="2">
        <v>1650.22</v>
      </c>
      <c r="L306" s="2">
        <f t="shared" si="9"/>
        <v>297.03999999999996</v>
      </c>
      <c r="M306" t="s">
        <v>21</v>
      </c>
    </row>
    <row r="307" spans="1:13" x14ac:dyDescent="0.3">
      <c r="A307" t="s">
        <v>334</v>
      </c>
      <c r="B307" s="1">
        <v>45363</v>
      </c>
      <c r="C307" s="1">
        <v>45368</v>
      </c>
      <c r="D307" s="6">
        <f t="shared" si="8"/>
        <v>5</v>
      </c>
      <c r="E307" t="s">
        <v>12</v>
      </c>
      <c r="F307" t="s">
        <v>31</v>
      </c>
      <c r="G307" t="s">
        <v>19</v>
      </c>
      <c r="H307" t="s">
        <v>20</v>
      </c>
      <c r="I307">
        <v>9</v>
      </c>
      <c r="J307" s="2">
        <v>1971.58</v>
      </c>
      <c r="K307" s="2">
        <v>1237.22</v>
      </c>
      <c r="L307" s="2">
        <f t="shared" si="9"/>
        <v>734.3599999999999</v>
      </c>
      <c r="M307" t="s">
        <v>16</v>
      </c>
    </row>
    <row r="308" spans="1:13" x14ac:dyDescent="0.3">
      <c r="A308" t="s">
        <v>335</v>
      </c>
      <c r="B308" s="1">
        <v>45386</v>
      </c>
      <c r="C308" s="1">
        <v>45396</v>
      </c>
      <c r="D308" s="6">
        <f t="shared" si="8"/>
        <v>10</v>
      </c>
      <c r="E308" t="s">
        <v>42</v>
      </c>
      <c r="F308" t="s">
        <v>33</v>
      </c>
      <c r="G308" t="s">
        <v>19</v>
      </c>
      <c r="H308" t="s">
        <v>25</v>
      </c>
      <c r="I308">
        <v>6</v>
      </c>
      <c r="J308" s="2">
        <v>1859.53</v>
      </c>
      <c r="K308" s="2">
        <v>1418.39</v>
      </c>
      <c r="L308" s="2">
        <f t="shared" si="9"/>
        <v>441.13999999999987</v>
      </c>
      <c r="M308" t="s">
        <v>21</v>
      </c>
    </row>
    <row r="309" spans="1:13" x14ac:dyDescent="0.3">
      <c r="A309" t="s">
        <v>336</v>
      </c>
      <c r="B309" s="1">
        <v>45472</v>
      </c>
      <c r="C309" s="1">
        <v>45481</v>
      </c>
      <c r="D309" s="6">
        <f t="shared" si="8"/>
        <v>9</v>
      </c>
      <c r="E309" t="s">
        <v>42</v>
      </c>
      <c r="F309" t="s">
        <v>27</v>
      </c>
      <c r="G309" t="s">
        <v>14</v>
      </c>
      <c r="H309" t="s">
        <v>20</v>
      </c>
      <c r="I309">
        <v>4</v>
      </c>
      <c r="J309" s="2">
        <v>311.76</v>
      </c>
      <c r="K309" s="2">
        <v>213.36</v>
      </c>
      <c r="L309" s="2">
        <f t="shared" si="9"/>
        <v>98.399999999999977</v>
      </c>
      <c r="M309" t="s">
        <v>16</v>
      </c>
    </row>
    <row r="310" spans="1:13" x14ac:dyDescent="0.3">
      <c r="A310" t="s">
        <v>337</v>
      </c>
      <c r="B310" s="1">
        <v>45532</v>
      </c>
      <c r="C310" s="1">
        <v>45538</v>
      </c>
      <c r="D310" s="6">
        <f t="shared" si="8"/>
        <v>6</v>
      </c>
      <c r="E310" t="s">
        <v>12</v>
      </c>
      <c r="F310" t="s">
        <v>31</v>
      </c>
      <c r="G310" t="s">
        <v>14</v>
      </c>
      <c r="H310" t="s">
        <v>40</v>
      </c>
      <c r="I310">
        <v>8</v>
      </c>
      <c r="J310" s="2">
        <v>1956.86</v>
      </c>
      <c r="K310" s="2">
        <v>1437.16</v>
      </c>
      <c r="L310" s="2">
        <f t="shared" si="9"/>
        <v>519.69999999999982</v>
      </c>
      <c r="M310" t="s">
        <v>29</v>
      </c>
    </row>
    <row r="311" spans="1:13" x14ac:dyDescent="0.3">
      <c r="A311" t="s">
        <v>338</v>
      </c>
      <c r="B311" s="1">
        <v>45475</v>
      </c>
      <c r="C311" s="1">
        <v>45479</v>
      </c>
      <c r="D311" s="6">
        <f t="shared" si="8"/>
        <v>4</v>
      </c>
      <c r="E311" t="s">
        <v>18</v>
      </c>
      <c r="F311" t="s">
        <v>13</v>
      </c>
      <c r="G311" t="s">
        <v>14</v>
      </c>
      <c r="H311" t="s">
        <v>20</v>
      </c>
      <c r="I311">
        <v>2</v>
      </c>
      <c r="J311" s="2">
        <v>791.8</v>
      </c>
      <c r="K311" s="2">
        <v>552.42999999999995</v>
      </c>
      <c r="L311" s="2">
        <f t="shared" si="9"/>
        <v>239.37</v>
      </c>
      <c r="M311" t="s">
        <v>29</v>
      </c>
    </row>
    <row r="312" spans="1:13" x14ac:dyDescent="0.3">
      <c r="A312" t="s">
        <v>339</v>
      </c>
      <c r="B312" s="1">
        <v>45635</v>
      </c>
      <c r="C312" s="1">
        <v>45644</v>
      </c>
      <c r="D312" s="6">
        <f t="shared" si="8"/>
        <v>9</v>
      </c>
      <c r="E312" t="s">
        <v>23</v>
      </c>
      <c r="F312" t="s">
        <v>31</v>
      </c>
      <c r="G312" t="s">
        <v>19</v>
      </c>
      <c r="H312" t="s">
        <v>15</v>
      </c>
      <c r="I312">
        <v>1</v>
      </c>
      <c r="J312" s="2">
        <v>1942.77</v>
      </c>
      <c r="K312" s="2">
        <v>1199.3599999999999</v>
      </c>
      <c r="L312" s="2">
        <f t="shared" si="9"/>
        <v>743.41000000000008</v>
      </c>
      <c r="M312" t="s">
        <v>29</v>
      </c>
    </row>
    <row r="313" spans="1:13" x14ac:dyDescent="0.3">
      <c r="A313" t="s">
        <v>340</v>
      </c>
      <c r="B313" s="1">
        <v>45622</v>
      </c>
      <c r="C313" s="1">
        <v>45625</v>
      </c>
      <c r="D313" s="6">
        <f t="shared" si="8"/>
        <v>3</v>
      </c>
      <c r="E313" t="s">
        <v>42</v>
      </c>
      <c r="F313" t="s">
        <v>31</v>
      </c>
      <c r="G313" t="s">
        <v>19</v>
      </c>
      <c r="H313" t="s">
        <v>20</v>
      </c>
      <c r="I313">
        <v>10</v>
      </c>
      <c r="J313" s="2">
        <v>1551.19</v>
      </c>
      <c r="K313" s="2">
        <v>966.07</v>
      </c>
      <c r="L313" s="2">
        <f t="shared" si="9"/>
        <v>585.12</v>
      </c>
      <c r="M313" t="s">
        <v>21</v>
      </c>
    </row>
    <row r="314" spans="1:13" x14ac:dyDescent="0.3">
      <c r="A314" t="s">
        <v>341</v>
      </c>
      <c r="B314" s="1">
        <v>45629</v>
      </c>
      <c r="C314" s="1">
        <v>45638</v>
      </c>
      <c r="D314" s="6">
        <f t="shared" si="8"/>
        <v>9</v>
      </c>
      <c r="E314" t="s">
        <v>23</v>
      </c>
      <c r="F314" t="s">
        <v>24</v>
      </c>
      <c r="G314" t="s">
        <v>14</v>
      </c>
      <c r="H314" t="s">
        <v>40</v>
      </c>
      <c r="I314">
        <v>10</v>
      </c>
      <c r="J314" s="2">
        <v>1277.02</v>
      </c>
      <c r="K314" s="2">
        <v>1039.03</v>
      </c>
      <c r="L314" s="2">
        <f t="shared" si="9"/>
        <v>237.99</v>
      </c>
      <c r="M314" t="s">
        <v>29</v>
      </c>
    </row>
    <row r="315" spans="1:13" x14ac:dyDescent="0.3">
      <c r="A315" t="s">
        <v>342</v>
      </c>
      <c r="B315" s="1">
        <v>45640</v>
      </c>
      <c r="C315" s="1">
        <v>45642</v>
      </c>
      <c r="D315" s="6">
        <f t="shared" si="8"/>
        <v>2</v>
      </c>
      <c r="E315" t="s">
        <v>42</v>
      </c>
      <c r="F315" t="s">
        <v>24</v>
      </c>
      <c r="G315" t="s">
        <v>14</v>
      </c>
      <c r="H315" t="s">
        <v>25</v>
      </c>
      <c r="I315">
        <v>6</v>
      </c>
      <c r="J315" s="2">
        <v>1188.79</v>
      </c>
      <c r="K315" s="2">
        <v>788.56</v>
      </c>
      <c r="L315" s="2">
        <f t="shared" si="9"/>
        <v>400.23</v>
      </c>
      <c r="M315" t="s">
        <v>29</v>
      </c>
    </row>
    <row r="316" spans="1:13" x14ac:dyDescent="0.3">
      <c r="A316" t="s">
        <v>343</v>
      </c>
      <c r="B316" s="1">
        <v>45564</v>
      </c>
      <c r="C316" s="1">
        <v>45569</v>
      </c>
      <c r="D316" s="6">
        <f t="shared" si="8"/>
        <v>5</v>
      </c>
      <c r="E316" t="s">
        <v>42</v>
      </c>
      <c r="F316" t="s">
        <v>27</v>
      </c>
      <c r="G316" t="s">
        <v>19</v>
      </c>
      <c r="H316" t="s">
        <v>15</v>
      </c>
      <c r="I316">
        <v>7</v>
      </c>
      <c r="J316" s="2">
        <v>1921.62</v>
      </c>
      <c r="K316" s="2">
        <v>1589.23</v>
      </c>
      <c r="L316" s="2">
        <f t="shared" si="9"/>
        <v>332.38999999999987</v>
      </c>
      <c r="M316" t="s">
        <v>29</v>
      </c>
    </row>
    <row r="317" spans="1:13" x14ac:dyDescent="0.3">
      <c r="A317" t="s">
        <v>344</v>
      </c>
      <c r="B317" s="1">
        <v>45334</v>
      </c>
      <c r="C317" s="1">
        <v>45340</v>
      </c>
      <c r="D317" s="6">
        <f t="shared" si="8"/>
        <v>6</v>
      </c>
      <c r="E317" t="s">
        <v>42</v>
      </c>
      <c r="F317" t="s">
        <v>31</v>
      </c>
      <c r="G317" t="s">
        <v>19</v>
      </c>
      <c r="H317" t="s">
        <v>25</v>
      </c>
      <c r="I317">
        <v>7</v>
      </c>
      <c r="J317" s="2">
        <v>1243.69</v>
      </c>
      <c r="K317" s="2">
        <v>936.83</v>
      </c>
      <c r="L317" s="2">
        <f t="shared" si="9"/>
        <v>306.86</v>
      </c>
      <c r="M317" t="s">
        <v>16</v>
      </c>
    </row>
    <row r="318" spans="1:13" x14ac:dyDescent="0.3">
      <c r="A318" t="s">
        <v>345</v>
      </c>
      <c r="B318" s="1">
        <v>45649</v>
      </c>
      <c r="C318" s="1">
        <v>45651</v>
      </c>
      <c r="D318" s="6">
        <f t="shared" si="8"/>
        <v>2</v>
      </c>
      <c r="E318" t="s">
        <v>12</v>
      </c>
      <c r="F318" t="s">
        <v>27</v>
      </c>
      <c r="G318" t="s">
        <v>19</v>
      </c>
      <c r="H318" t="s">
        <v>40</v>
      </c>
      <c r="I318">
        <v>1</v>
      </c>
      <c r="J318" s="2">
        <v>1302.8</v>
      </c>
      <c r="K318" s="2">
        <v>797.81</v>
      </c>
      <c r="L318" s="2">
        <f t="shared" si="9"/>
        <v>504.99</v>
      </c>
      <c r="M318" t="s">
        <v>16</v>
      </c>
    </row>
    <row r="319" spans="1:13" x14ac:dyDescent="0.3">
      <c r="A319" t="s">
        <v>346</v>
      </c>
      <c r="B319" s="1">
        <v>45396</v>
      </c>
      <c r="C319" s="1">
        <v>45406</v>
      </c>
      <c r="D319" s="6">
        <f t="shared" si="8"/>
        <v>10</v>
      </c>
      <c r="E319" t="s">
        <v>42</v>
      </c>
      <c r="F319" t="s">
        <v>13</v>
      </c>
      <c r="G319" t="s">
        <v>19</v>
      </c>
      <c r="H319" t="s">
        <v>15</v>
      </c>
      <c r="I319">
        <v>3</v>
      </c>
      <c r="J319" s="2">
        <v>1875.15</v>
      </c>
      <c r="K319" s="2">
        <v>1343.41</v>
      </c>
      <c r="L319" s="2">
        <f t="shared" si="9"/>
        <v>531.74</v>
      </c>
      <c r="M319" t="s">
        <v>21</v>
      </c>
    </row>
    <row r="320" spans="1:13" x14ac:dyDescent="0.3">
      <c r="A320" t="s">
        <v>347</v>
      </c>
      <c r="B320" s="1">
        <v>45515</v>
      </c>
      <c r="C320" s="1">
        <v>45518</v>
      </c>
      <c r="D320" s="6">
        <f t="shared" si="8"/>
        <v>3</v>
      </c>
      <c r="E320" t="s">
        <v>18</v>
      </c>
      <c r="F320" t="s">
        <v>33</v>
      </c>
      <c r="G320" t="s">
        <v>19</v>
      </c>
      <c r="H320" t="s">
        <v>20</v>
      </c>
      <c r="I320">
        <v>9</v>
      </c>
      <c r="J320" s="2">
        <v>464.78</v>
      </c>
      <c r="K320" s="2">
        <v>372.83</v>
      </c>
      <c r="L320" s="2">
        <f t="shared" si="9"/>
        <v>91.949999999999989</v>
      </c>
      <c r="M320" t="s">
        <v>21</v>
      </c>
    </row>
    <row r="321" spans="1:13" x14ac:dyDescent="0.3">
      <c r="A321" t="s">
        <v>348</v>
      </c>
      <c r="B321" s="1">
        <v>45314</v>
      </c>
      <c r="C321" s="1">
        <v>45323</v>
      </c>
      <c r="D321" s="6">
        <f t="shared" si="8"/>
        <v>9</v>
      </c>
      <c r="E321" t="s">
        <v>42</v>
      </c>
      <c r="F321" t="s">
        <v>33</v>
      </c>
      <c r="G321" t="s">
        <v>14</v>
      </c>
      <c r="H321" t="s">
        <v>20</v>
      </c>
      <c r="I321">
        <v>2</v>
      </c>
      <c r="J321" s="2">
        <v>1124.81</v>
      </c>
      <c r="K321" s="2">
        <v>850.03</v>
      </c>
      <c r="L321" s="2">
        <f t="shared" si="9"/>
        <v>274.77999999999997</v>
      </c>
      <c r="M321" t="s">
        <v>21</v>
      </c>
    </row>
    <row r="322" spans="1:13" x14ac:dyDescent="0.3">
      <c r="A322" t="s">
        <v>349</v>
      </c>
      <c r="B322" s="1">
        <v>45506</v>
      </c>
      <c r="C322" s="1">
        <v>45510</v>
      </c>
      <c r="D322" s="6">
        <f t="shared" si="8"/>
        <v>4</v>
      </c>
      <c r="E322" t="s">
        <v>12</v>
      </c>
      <c r="F322" t="s">
        <v>13</v>
      </c>
      <c r="G322" t="s">
        <v>19</v>
      </c>
      <c r="H322" t="s">
        <v>40</v>
      </c>
      <c r="I322">
        <v>10</v>
      </c>
      <c r="J322" s="2">
        <v>1476.66</v>
      </c>
      <c r="K322" s="2">
        <v>1006.62</v>
      </c>
      <c r="L322" s="2">
        <f t="shared" si="9"/>
        <v>470.04000000000008</v>
      </c>
      <c r="M322" t="s">
        <v>21</v>
      </c>
    </row>
    <row r="323" spans="1:13" x14ac:dyDescent="0.3">
      <c r="A323" t="s">
        <v>350</v>
      </c>
      <c r="B323" s="1">
        <v>45399</v>
      </c>
      <c r="C323" s="1">
        <v>45401</v>
      </c>
      <c r="D323" s="6">
        <f t="shared" ref="D323:D386" si="10">C323-B323</f>
        <v>2</v>
      </c>
      <c r="E323" t="s">
        <v>42</v>
      </c>
      <c r="F323" t="s">
        <v>24</v>
      </c>
      <c r="G323" t="s">
        <v>14</v>
      </c>
      <c r="H323" t="s">
        <v>20</v>
      </c>
      <c r="I323">
        <v>8</v>
      </c>
      <c r="J323" s="2">
        <v>125.01</v>
      </c>
      <c r="K323" s="2">
        <v>77.930000000000007</v>
      </c>
      <c r="L323" s="2">
        <f t="shared" ref="L323:L386" si="11">J323-K323</f>
        <v>47.08</v>
      </c>
      <c r="M323" t="s">
        <v>21</v>
      </c>
    </row>
    <row r="324" spans="1:13" x14ac:dyDescent="0.3">
      <c r="A324" t="s">
        <v>351</v>
      </c>
      <c r="B324" s="1">
        <v>45627</v>
      </c>
      <c r="C324" s="1">
        <v>45629</v>
      </c>
      <c r="D324" s="6">
        <f t="shared" si="10"/>
        <v>2</v>
      </c>
      <c r="E324" t="s">
        <v>18</v>
      </c>
      <c r="F324" t="s">
        <v>27</v>
      </c>
      <c r="G324" t="s">
        <v>14</v>
      </c>
      <c r="H324" t="s">
        <v>15</v>
      </c>
      <c r="I324">
        <v>1</v>
      </c>
      <c r="J324" s="2">
        <v>1854.3</v>
      </c>
      <c r="K324" s="2">
        <v>1380.64</v>
      </c>
      <c r="L324" s="2">
        <f t="shared" si="11"/>
        <v>473.65999999999985</v>
      </c>
      <c r="M324" t="s">
        <v>21</v>
      </c>
    </row>
    <row r="325" spans="1:13" x14ac:dyDescent="0.3">
      <c r="A325" t="s">
        <v>352</v>
      </c>
      <c r="B325" s="1">
        <v>45589</v>
      </c>
      <c r="C325" s="1">
        <v>45592</v>
      </c>
      <c r="D325" s="6">
        <f t="shared" si="10"/>
        <v>3</v>
      </c>
      <c r="E325" t="s">
        <v>23</v>
      </c>
      <c r="F325" t="s">
        <v>13</v>
      </c>
      <c r="G325" t="s">
        <v>19</v>
      </c>
      <c r="H325" t="s">
        <v>40</v>
      </c>
      <c r="I325">
        <v>6</v>
      </c>
      <c r="J325" s="2">
        <v>1851.46</v>
      </c>
      <c r="K325" s="2">
        <v>1404.89</v>
      </c>
      <c r="L325" s="2">
        <f t="shared" si="11"/>
        <v>446.56999999999994</v>
      </c>
      <c r="M325" t="s">
        <v>29</v>
      </c>
    </row>
    <row r="326" spans="1:13" x14ac:dyDescent="0.3">
      <c r="A326" t="s">
        <v>353</v>
      </c>
      <c r="B326" s="1">
        <v>45500</v>
      </c>
      <c r="C326" s="1">
        <v>45503</v>
      </c>
      <c r="D326" s="6">
        <f t="shared" si="10"/>
        <v>3</v>
      </c>
      <c r="E326" t="s">
        <v>12</v>
      </c>
      <c r="F326" t="s">
        <v>24</v>
      </c>
      <c r="G326" t="s">
        <v>14</v>
      </c>
      <c r="H326" t="s">
        <v>25</v>
      </c>
      <c r="I326">
        <v>5</v>
      </c>
      <c r="J326" s="2">
        <v>553.91</v>
      </c>
      <c r="K326" s="2">
        <v>363.63</v>
      </c>
      <c r="L326" s="2">
        <f t="shared" si="11"/>
        <v>190.27999999999997</v>
      </c>
      <c r="M326" t="s">
        <v>29</v>
      </c>
    </row>
    <row r="327" spans="1:13" x14ac:dyDescent="0.3">
      <c r="A327" t="s">
        <v>354</v>
      </c>
      <c r="B327" s="1">
        <v>45581</v>
      </c>
      <c r="C327" s="1">
        <v>45585</v>
      </c>
      <c r="D327" s="6">
        <f t="shared" si="10"/>
        <v>4</v>
      </c>
      <c r="E327" t="s">
        <v>23</v>
      </c>
      <c r="F327" t="s">
        <v>13</v>
      </c>
      <c r="G327" t="s">
        <v>14</v>
      </c>
      <c r="H327" t="s">
        <v>40</v>
      </c>
      <c r="I327">
        <v>1</v>
      </c>
      <c r="J327" s="2">
        <v>357.84</v>
      </c>
      <c r="K327" s="2">
        <v>231.35</v>
      </c>
      <c r="L327" s="2">
        <f t="shared" si="11"/>
        <v>126.48999999999998</v>
      </c>
      <c r="M327" t="s">
        <v>29</v>
      </c>
    </row>
    <row r="328" spans="1:13" x14ac:dyDescent="0.3">
      <c r="A328" t="s">
        <v>355</v>
      </c>
      <c r="B328" s="1">
        <v>45539</v>
      </c>
      <c r="C328" s="1">
        <v>45542</v>
      </c>
      <c r="D328" s="6">
        <f t="shared" si="10"/>
        <v>3</v>
      </c>
      <c r="E328" t="s">
        <v>23</v>
      </c>
      <c r="F328" t="s">
        <v>27</v>
      </c>
      <c r="G328" t="s">
        <v>19</v>
      </c>
      <c r="H328" t="s">
        <v>15</v>
      </c>
      <c r="I328">
        <v>6</v>
      </c>
      <c r="J328" s="2">
        <v>773.41</v>
      </c>
      <c r="K328" s="2">
        <v>638.46</v>
      </c>
      <c r="L328" s="2">
        <f t="shared" si="11"/>
        <v>134.94999999999993</v>
      </c>
      <c r="M328" t="s">
        <v>29</v>
      </c>
    </row>
    <row r="329" spans="1:13" x14ac:dyDescent="0.3">
      <c r="A329" t="s">
        <v>356</v>
      </c>
      <c r="B329" s="1">
        <v>45635</v>
      </c>
      <c r="C329" s="1">
        <v>45637</v>
      </c>
      <c r="D329" s="6">
        <f t="shared" si="10"/>
        <v>2</v>
      </c>
      <c r="E329" t="s">
        <v>42</v>
      </c>
      <c r="F329" t="s">
        <v>24</v>
      </c>
      <c r="G329" t="s">
        <v>14</v>
      </c>
      <c r="H329" t="s">
        <v>25</v>
      </c>
      <c r="I329">
        <v>1</v>
      </c>
      <c r="J329" s="2">
        <v>286.55</v>
      </c>
      <c r="K329" s="2">
        <v>229.23</v>
      </c>
      <c r="L329" s="2">
        <f t="shared" si="11"/>
        <v>57.320000000000022</v>
      </c>
      <c r="M329" t="s">
        <v>29</v>
      </c>
    </row>
    <row r="330" spans="1:13" x14ac:dyDescent="0.3">
      <c r="A330" t="s">
        <v>357</v>
      </c>
      <c r="B330" s="1">
        <v>45525</v>
      </c>
      <c r="C330" s="1">
        <v>45530</v>
      </c>
      <c r="D330" s="6">
        <f t="shared" si="10"/>
        <v>5</v>
      </c>
      <c r="E330" t="s">
        <v>18</v>
      </c>
      <c r="F330" t="s">
        <v>24</v>
      </c>
      <c r="G330" t="s">
        <v>14</v>
      </c>
      <c r="H330" t="s">
        <v>20</v>
      </c>
      <c r="I330">
        <v>1</v>
      </c>
      <c r="J330" s="2">
        <v>1519.56</v>
      </c>
      <c r="K330" s="2">
        <v>928.54</v>
      </c>
      <c r="L330" s="2">
        <f t="shared" si="11"/>
        <v>591.02</v>
      </c>
      <c r="M330" t="s">
        <v>16</v>
      </c>
    </row>
    <row r="331" spans="1:13" x14ac:dyDescent="0.3">
      <c r="A331" t="s">
        <v>358</v>
      </c>
      <c r="B331" s="1">
        <v>45609</v>
      </c>
      <c r="C331" s="1">
        <v>45617</v>
      </c>
      <c r="D331" s="6">
        <f t="shared" si="10"/>
        <v>8</v>
      </c>
      <c r="E331" t="s">
        <v>23</v>
      </c>
      <c r="F331" t="s">
        <v>33</v>
      </c>
      <c r="G331" t="s">
        <v>14</v>
      </c>
      <c r="H331" t="s">
        <v>20</v>
      </c>
      <c r="I331">
        <v>4</v>
      </c>
      <c r="J331" s="2">
        <v>1627.2</v>
      </c>
      <c r="K331" s="2">
        <v>1097.54</v>
      </c>
      <c r="L331" s="2">
        <f t="shared" si="11"/>
        <v>529.66000000000008</v>
      </c>
      <c r="M331" t="s">
        <v>16</v>
      </c>
    </row>
    <row r="332" spans="1:13" x14ac:dyDescent="0.3">
      <c r="A332" t="s">
        <v>359</v>
      </c>
      <c r="B332" s="1">
        <v>45579</v>
      </c>
      <c r="C332" s="1">
        <v>45582</v>
      </c>
      <c r="D332" s="6">
        <f t="shared" si="10"/>
        <v>3</v>
      </c>
      <c r="E332" t="s">
        <v>18</v>
      </c>
      <c r="F332" t="s">
        <v>31</v>
      </c>
      <c r="G332" t="s">
        <v>19</v>
      </c>
      <c r="H332" t="s">
        <v>25</v>
      </c>
      <c r="I332">
        <v>6</v>
      </c>
      <c r="J332" s="2">
        <v>1638.81</v>
      </c>
      <c r="K332" s="2">
        <v>1013.11</v>
      </c>
      <c r="L332" s="2">
        <f t="shared" si="11"/>
        <v>625.69999999999993</v>
      </c>
      <c r="M332" t="s">
        <v>21</v>
      </c>
    </row>
    <row r="333" spans="1:13" x14ac:dyDescent="0.3">
      <c r="A333" t="s">
        <v>360</v>
      </c>
      <c r="B333" s="1">
        <v>45545</v>
      </c>
      <c r="C333" s="1">
        <v>45552</v>
      </c>
      <c r="D333" s="6">
        <f t="shared" si="10"/>
        <v>7</v>
      </c>
      <c r="E333" t="s">
        <v>42</v>
      </c>
      <c r="F333" t="s">
        <v>13</v>
      </c>
      <c r="G333" t="s">
        <v>14</v>
      </c>
      <c r="H333" t="s">
        <v>20</v>
      </c>
      <c r="I333">
        <v>9</v>
      </c>
      <c r="J333" s="2">
        <v>1367.7</v>
      </c>
      <c r="K333" s="2">
        <v>1055.17</v>
      </c>
      <c r="L333" s="2">
        <f t="shared" si="11"/>
        <v>312.52999999999997</v>
      </c>
      <c r="M333" t="s">
        <v>29</v>
      </c>
    </row>
    <row r="334" spans="1:13" x14ac:dyDescent="0.3">
      <c r="A334" t="s">
        <v>361</v>
      </c>
      <c r="B334" s="1">
        <v>45532</v>
      </c>
      <c r="C334" s="1">
        <v>45539</v>
      </c>
      <c r="D334" s="6">
        <f t="shared" si="10"/>
        <v>7</v>
      </c>
      <c r="E334" t="s">
        <v>23</v>
      </c>
      <c r="F334" t="s">
        <v>33</v>
      </c>
      <c r="G334" t="s">
        <v>19</v>
      </c>
      <c r="H334" t="s">
        <v>40</v>
      </c>
      <c r="I334">
        <v>4</v>
      </c>
      <c r="J334" s="2">
        <v>1277.71</v>
      </c>
      <c r="K334" s="2">
        <v>907.26</v>
      </c>
      <c r="L334" s="2">
        <f t="shared" si="11"/>
        <v>370.45000000000005</v>
      </c>
      <c r="M334" t="s">
        <v>16</v>
      </c>
    </row>
    <row r="335" spans="1:13" x14ac:dyDescent="0.3">
      <c r="A335" t="s">
        <v>362</v>
      </c>
      <c r="B335" s="1">
        <v>45319</v>
      </c>
      <c r="C335" s="1">
        <v>45324</v>
      </c>
      <c r="D335" s="6">
        <f t="shared" si="10"/>
        <v>5</v>
      </c>
      <c r="E335" t="s">
        <v>23</v>
      </c>
      <c r="F335" t="s">
        <v>33</v>
      </c>
      <c r="G335" t="s">
        <v>14</v>
      </c>
      <c r="H335" t="s">
        <v>15</v>
      </c>
      <c r="I335">
        <v>6</v>
      </c>
      <c r="J335" s="2">
        <v>472.26</v>
      </c>
      <c r="K335" s="2">
        <v>289.47000000000003</v>
      </c>
      <c r="L335" s="2">
        <f t="shared" si="11"/>
        <v>182.78999999999996</v>
      </c>
      <c r="M335" t="s">
        <v>29</v>
      </c>
    </row>
    <row r="336" spans="1:13" x14ac:dyDescent="0.3">
      <c r="A336" t="s">
        <v>363</v>
      </c>
      <c r="B336" s="1">
        <v>45563</v>
      </c>
      <c r="C336" s="1">
        <v>45573</v>
      </c>
      <c r="D336" s="6">
        <f t="shared" si="10"/>
        <v>10</v>
      </c>
      <c r="E336" t="s">
        <v>18</v>
      </c>
      <c r="F336" t="s">
        <v>27</v>
      </c>
      <c r="G336" t="s">
        <v>19</v>
      </c>
      <c r="H336" t="s">
        <v>25</v>
      </c>
      <c r="I336">
        <v>5</v>
      </c>
      <c r="J336" s="2">
        <v>1834.52</v>
      </c>
      <c r="K336" s="2">
        <v>1404.06</v>
      </c>
      <c r="L336" s="2">
        <f t="shared" si="11"/>
        <v>430.46000000000004</v>
      </c>
      <c r="M336" t="s">
        <v>21</v>
      </c>
    </row>
    <row r="337" spans="1:13" x14ac:dyDescent="0.3">
      <c r="A337" t="s">
        <v>364</v>
      </c>
      <c r="B337" s="1">
        <v>45404</v>
      </c>
      <c r="C337" s="1">
        <v>45414</v>
      </c>
      <c r="D337" s="6">
        <f t="shared" si="10"/>
        <v>10</v>
      </c>
      <c r="E337" t="s">
        <v>18</v>
      </c>
      <c r="F337" t="s">
        <v>24</v>
      </c>
      <c r="G337" t="s">
        <v>19</v>
      </c>
      <c r="H337" t="s">
        <v>25</v>
      </c>
      <c r="I337">
        <v>10</v>
      </c>
      <c r="J337" s="2">
        <v>627.99</v>
      </c>
      <c r="K337" s="2">
        <v>444.22</v>
      </c>
      <c r="L337" s="2">
        <f t="shared" si="11"/>
        <v>183.76999999999998</v>
      </c>
      <c r="M337" t="s">
        <v>21</v>
      </c>
    </row>
    <row r="338" spans="1:13" x14ac:dyDescent="0.3">
      <c r="A338" t="s">
        <v>365</v>
      </c>
      <c r="B338" s="1">
        <v>45489</v>
      </c>
      <c r="C338" s="1">
        <v>45497</v>
      </c>
      <c r="D338" s="6">
        <f t="shared" si="10"/>
        <v>8</v>
      </c>
      <c r="E338" t="s">
        <v>18</v>
      </c>
      <c r="F338" t="s">
        <v>31</v>
      </c>
      <c r="G338" t="s">
        <v>14</v>
      </c>
      <c r="H338" t="s">
        <v>20</v>
      </c>
      <c r="I338">
        <v>8</v>
      </c>
      <c r="J338" s="2">
        <v>1166.29</v>
      </c>
      <c r="K338" s="2">
        <v>755.7</v>
      </c>
      <c r="L338" s="2">
        <f t="shared" si="11"/>
        <v>410.58999999999992</v>
      </c>
      <c r="M338" t="s">
        <v>21</v>
      </c>
    </row>
    <row r="339" spans="1:13" x14ac:dyDescent="0.3">
      <c r="A339" t="s">
        <v>366</v>
      </c>
      <c r="B339" s="1">
        <v>45426</v>
      </c>
      <c r="C339" s="1">
        <v>45431</v>
      </c>
      <c r="D339" s="6">
        <f t="shared" si="10"/>
        <v>5</v>
      </c>
      <c r="E339" t="s">
        <v>12</v>
      </c>
      <c r="F339" t="s">
        <v>31</v>
      </c>
      <c r="G339" t="s">
        <v>14</v>
      </c>
      <c r="H339" t="s">
        <v>20</v>
      </c>
      <c r="I339">
        <v>10</v>
      </c>
      <c r="J339" s="2">
        <v>1556.27</v>
      </c>
      <c r="K339" s="2">
        <v>1176.52</v>
      </c>
      <c r="L339" s="2">
        <f t="shared" si="11"/>
        <v>379.75</v>
      </c>
      <c r="M339" t="s">
        <v>21</v>
      </c>
    </row>
    <row r="340" spans="1:13" x14ac:dyDescent="0.3">
      <c r="A340" t="s">
        <v>367</v>
      </c>
      <c r="B340" s="1">
        <v>45475</v>
      </c>
      <c r="C340" s="1">
        <v>45482</v>
      </c>
      <c r="D340" s="6">
        <f t="shared" si="10"/>
        <v>7</v>
      </c>
      <c r="E340" t="s">
        <v>18</v>
      </c>
      <c r="F340" t="s">
        <v>33</v>
      </c>
      <c r="G340" t="s">
        <v>14</v>
      </c>
      <c r="H340" t="s">
        <v>40</v>
      </c>
      <c r="I340">
        <v>1</v>
      </c>
      <c r="J340" s="2">
        <v>1619.89</v>
      </c>
      <c r="K340" s="2">
        <v>1296.46</v>
      </c>
      <c r="L340" s="2">
        <f t="shared" si="11"/>
        <v>323.43000000000006</v>
      </c>
      <c r="M340" t="s">
        <v>21</v>
      </c>
    </row>
    <row r="341" spans="1:13" x14ac:dyDescent="0.3">
      <c r="A341" t="s">
        <v>368</v>
      </c>
      <c r="B341" s="1">
        <v>45462</v>
      </c>
      <c r="C341" s="1">
        <v>45469</v>
      </c>
      <c r="D341" s="6">
        <f t="shared" si="10"/>
        <v>7</v>
      </c>
      <c r="E341" t="s">
        <v>42</v>
      </c>
      <c r="F341" t="s">
        <v>24</v>
      </c>
      <c r="G341" t="s">
        <v>19</v>
      </c>
      <c r="H341" t="s">
        <v>40</v>
      </c>
      <c r="I341">
        <v>8</v>
      </c>
      <c r="J341" s="2">
        <v>1929.36</v>
      </c>
      <c r="K341" s="2">
        <v>1513.79</v>
      </c>
      <c r="L341" s="2">
        <f t="shared" si="11"/>
        <v>415.56999999999994</v>
      </c>
      <c r="M341" t="s">
        <v>21</v>
      </c>
    </row>
    <row r="342" spans="1:13" x14ac:dyDescent="0.3">
      <c r="A342" t="s">
        <v>369</v>
      </c>
      <c r="B342" s="1">
        <v>45335</v>
      </c>
      <c r="C342" s="1">
        <v>45339</v>
      </c>
      <c r="D342" s="6">
        <f t="shared" si="10"/>
        <v>4</v>
      </c>
      <c r="E342" t="s">
        <v>18</v>
      </c>
      <c r="F342" t="s">
        <v>33</v>
      </c>
      <c r="G342" t="s">
        <v>19</v>
      </c>
      <c r="H342" t="s">
        <v>40</v>
      </c>
      <c r="I342">
        <v>3</v>
      </c>
      <c r="J342" s="2">
        <v>805.9</v>
      </c>
      <c r="K342" s="2">
        <v>678.74</v>
      </c>
      <c r="L342" s="2">
        <f t="shared" si="11"/>
        <v>127.15999999999997</v>
      </c>
      <c r="M342" t="s">
        <v>21</v>
      </c>
    </row>
    <row r="343" spans="1:13" x14ac:dyDescent="0.3">
      <c r="A343" t="s">
        <v>370</v>
      </c>
      <c r="B343" s="1">
        <v>45518</v>
      </c>
      <c r="C343" s="1">
        <v>45523</v>
      </c>
      <c r="D343" s="6">
        <f t="shared" si="10"/>
        <v>5</v>
      </c>
      <c r="E343" t="s">
        <v>18</v>
      </c>
      <c r="F343" t="s">
        <v>27</v>
      </c>
      <c r="G343" t="s">
        <v>19</v>
      </c>
      <c r="H343" t="s">
        <v>40</v>
      </c>
      <c r="I343">
        <v>9</v>
      </c>
      <c r="J343" s="2">
        <v>677.58</v>
      </c>
      <c r="K343" s="2">
        <v>493.46</v>
      </c>
      <c r="L343" s="2">
        <f t="shared" si="11"/>
        <v>184.12000000000006</v>
      </c>
      <c r="M343" t="s">
        <v>21</v>
      </c>
    </row>
    <row r="344" spans="1:13" x14ac:dyDescent="0.3">
      <c r="A344" t="s">
        <v>371</v>
      </c>
      <c r="B344" s="1">
        <v>45624</v>
      </c>
      <c r="C344" s="1">
        <v>45629</v>
      </c>
      <c r="D344" s="6">
        <f t="shared" si="10"/>
        <v>5</v>
      </c>
      <c r="E344" t="s">
        <v>42</v>
      </c>
      <c r="F344" t="s">
        <v>13</v>
      </c>
      <c r="G344" t="s">
        <v>14</v>
      </c>
      <c r="H344" t="s">
        <v>15</v>
      </c>
      <c r="I344">
        <v>10</v>
      </c>
      <c r="J344" s="2">
        <v>882.98</v>
      </c>
      <c r="K344" s="2">
        <v>677.03</v>
      </c>
      <c r="L344" s="2">
        <f t="shared" si="11"/>
        <v>205.95000000000005</v>
      </c>
      <c r="M344" t="s">
        <v>21</v>
      </c>
    </row>
    <row r="345" spans="1:13" x14ac:dyDescent="0.3">
      <c r="A345" t="s">
        <v>372</v>
      </c>
      <c r="B345" s="1">
        <v>45496</v>
      </c>
      <c r="C345" s="1">
        <v>45506</v>
      </c>
      <c r="D345" s="6">
        <f t="shared" si="10"/>
        <v>10</v>
      </c>
      <c r="E345" t="s">
        <v>12</v>
      </c>
      <c r="F345" t="s">
        <v>27</v>
      </c>
      <c r="G345" t="s">
        <v>19</v>
      </c>
      <c r="H345" t="s">
        <v>25</v>
      </c>
      <c r="I345">
        <v>9</v>
      </c>
      <c r="J345" s="2">
        <v>1834.3</v>
      </c>
      <c r="K345" s="2">
        <v>1131.03</v>
      </c>
      <c r="L345" s="2">
        <f t="shared" si="11"/>
        <v>703.27</v>
      </c>
      <c r="M345" t="s">
        <v>21</v>
      </c>
    </row>
    <row r="346" spans="1:13" x14ac:dyDescent="0.3">
      <c r="A346" t="s">
        <v>373</v>
      </c>
      <c r="B346" s="1">
        <v>45546</v>
      </c>
      <c r="C346" s="1">
        <v>45550</v>
      </c>
      <c r="D346" s="6">
        <f t="shared" si="10"/>
        <v>4</v>
      </c>
      <c r="E346" t="s">
        <v>42</v>
      </c>
      <c r="F346" t="s">
        <v>31</v>
      </c>
      <c r="G346" t="s">
        <v>19</v>
      </c>
      <c r="H346" t="s">
        <v>40</v>
      </c>
      <c r="I346">
        <v>2</v>
      </c>
      <c r="J346" s="2">
        <v>963.79</v>
      </c>
      <c r="K346" s="2">
        <v>588.72</v>
      </c>
      <c r="L346" s="2">
        <f t="shared" si="11"/>
        <v>375.06999999999994</v>
      </c>
      <c r="M346" t="s">
        <v>16</v>
      </c>
    </row>
    <row r="347" spans="1:13" x14ac:dyDescent="0.3">
      <c r="A347" t="s">
        <v>374</v>
      </c>
      <c r="B347" s="1">
        <v>45440</v>
      </c>
      <c r="C347" s="1">
        <v>45448</v>
      </c>
      <c r="D347" s="6">
        <f t="shared" si="10"/>
        <v>8</v>
      </c>
      <c r="E347" t="s">
        <v>12</v>
      </c>
      <c r="F347" t="s">
        <v>33</v>
      </c>
      <c r="G347" t="s">
        <v>19</v>
      </c>
      <c r="H347" t="s">
        <v>25</v>
      </c>
      <c r="I347">
        <v>6</v>
      </c>
      <c r="J347" s="2">
        <v>1217.6099999999999</v>
      </c>
      <c r="K347" s="2">
        <v>1027.45</v>
      </c>
      <c r="L347" s="2">
        <f t="shared" si="11"/>
        <v>190.15999999999985</v>
      </c>
      <c r="M347" t="s">
        <v>29</v>
      </c>
    </row>
    <row r="348" spans="1:13" x14ac:dyDescent="0.3">
      <c r="A348" t="s">
        <v>375</v>
      </c>
      <c r="B348" s="1">
        <v>45370</v>
      </c>
      <c r="C348" s="1">
        <v>45377</v>
      </c>
      <c r="D348" s="6">
        <f t="shared" si="10"/>
        <v>7</v>
      </c>
      <c r="E348" t="s">
        <v>23</v>
      </c>
      <c r="F348" t="s">
        <v>24</v>
      </c>
      <c r="G348" t="s">
        <v>19</v>
      </c>
      <c r="H348" t="s">
        <v>40</v>
      </c>
      <c r="I348">
        <v>8</v>
      </c>
      <c r="J348" s="2">
        <v>451.52</v>
      </c>
      <c r="K348" s="2">
        <v>348.09</v>
      </c>
      <c r="L348" s="2">
        <f t="shared" si="11"/>
        <v>103.43</v>
      </c>
      <c r="M348" t="s">
        <v>16</v>
      </c>
    </row>
    <row r="349" spans="1:13" x14ac:dyDescent="0.3">
      <c r="A349" t="s">
        <v>376</v>
      </c>
      <c r="B349" s="1">
        <v>45545</v>
      </c>
      <c r="C349" s="1">
        <v>45552</v>
      </c>
      <c r="D349" s="6">
        <f t="shared" si="10"/>
        <v>7</v>
      </c>
      <c r="E349" t="s">
        <v>42</v>
      </c>
      <c r="F349" t="s">
        <v>31</v>
      </c>
      <c r="G349" t="s">
        <v>14</v>
      </c>
      <c r="H349" t="s">
        <v>40</v>
      </c>
      <c r="I349">
        <v>9</v>
      </c>
      <c r="J349" s="2">
        <v>1265.8499999999999</v>
      </c>
      <c r="K349" s="2">
        <v>899.22</v>
      </c>
      <c r="L349" s="2">
        <f t="shared" si="11"/>
        <v>366.62999999999988</v>
      </c>
      <c r="M349" t="s">
        <v>29</v>
      </c>
    </row>
    <row r="350" spans="1:13" x14ac:dyDescent="0.3">
      <c r="A350" t="s">
        <v>377</v>
      </c>
      <c r="B350" s="1">
        <v>45652</v>
      </c>
      <c r="C350" s="1">
        <v>45659</v>
      </c>
      <c r="D350" s="6">
        <f t="shared" si="10"/>
        <v>7</v>
      </c>
      <c r="E350" t="s">
        <v>18</v>
      </c>
      <c r="F350" t="s">
        <v>33</v>
      </c>
      <c r="G350" t="s">
        <v>19</v>
      </c>
      <c r="H350" t="s">
        <v>20</v>
      </c>
      <c r="I350">
        <v>2</v>
      </c>
      <c r="J350" s="2">
        <v>1549.65</v>
      </c>
      <c r="K350" s="2">
        <v>1226.3699999999999</v>
      </c>
      <c r="L350" s="2">
        <f t="shared" si="11"/>
        <v>323.2800000000002</v>
      </c>
      <c r="M350" t="s">
        <v>21</v>
      </c>
    </row>
    <row r="351" spans="1:13" x14ac:dyDescent="0.3">
      <c r="A351" t="s">
        <v>378</v>
      </c>
      <c r="B351" s="1">
        <v>45634</v>
      </c>
      <c r="C351" s="1">
        <v>45644</v>
      </c>
      <c r="D351" s="6">
        <f t="shared" si="10"/>
        <v>10</v>
      </c>
      <c r="E351" t="s">
        <v>12</v>
      </c>
      <c r="F351" t="s">
        <v>24</v>
      </c>
      <c r="G351" t="s">
        <v>14</v>
      </c>
      <c r="H351" t="s">
        <v>15</v>
      </c>
      <c r="I351">
        <v>10</v>
      </c>
      <c r="J351" s="2">
        <v>1591.27</v>
      </c>
      <c r="K351" s="2">
        <v>1210.4000000000001</v>
      </c>
      <c r="L351" s="2">
        <f t="shared" si="11"/>
        <v>380.86999999999989</v>
      </c>
      <c r="M351" t="s">
        <v>29</v>
      </c>
    </row>
    <row r="352" spans="1:13" x14ac:dyDescent="0.3">
      <c r="A352" t="s">
        <v>379</v>
      </c>
      <c r="B352" s="1">
        <v>45591</v>
      </c>
      <c r="C352" s="1">
        <v>45593</v>
      </c>
      <c r="D352" s="6">
        <f t="shared" si="10"/>
        <v>2</v>
      </c>
      <c r="E352" t="s">
        <v>18</v>
      </c>
      <c r="F352" t="s">
        <v>13</v>
      </c>
      <c r="G352" t="s">
        <v>14</v>
      </c>
      <c r="H352" t="s">
        <v>15</v>
      </c>
      <c r="I352">
        <v>6</v>
      </c>
      <c r="J352" s="2">
        <v>638.94000000000005</v>
      </c>
      <c r="K352" s="2">
        <v>476.4</v>
      </c>
      <c r="L352" s="2">
        <f t="shared" si="11"/>
        <v>162.54000000000008</v>
      </c>
      <c r="M352" t="s">
        <v>21</v>
      </c>
    </row>
    <row r="353" spans="1:13" x14ac:dyDescent="0.3">
      <c r="A353" t="s">
        <v>380</v>
      </c>
      <c r="B353" s="1">
        <v>45555</v>
      </c>
      <c r="C353" s="1">
        <v>45560</v>
      </c>
      <c r="D353" s="6">
        <f t="shared" si="10"/>
        <v>5</v>
      </c>
      <c r="E353" t="s">
        <v>23</v>
      </c>
      <c r="F353" t="s">
        <v>33</v>
      </c>
      <c r="G353" t="s">
        <v>19</v>
      </c>
      <c r="H353" t="s">
        <v>15</v>
      </c>
      <c r="I353">
        <v>3</v>
      </c>
      <c r="J353" s="2">
        <v>1538.26</v>
      </c>
      <c r="K353" s="2">
        <v>1207.5899999999999</v>
      </c>
      <c r="L353" s="2">
        <f t="shared" si="11"/>
        <v>330.67000000000007</v>
      </c>
      <c r="M353" t="s">
        <v>29</v>
      </c>
    </row>
    <row r="354" spans="1:13" x14ac:dyDescent="0.3">
      <c r="A354" t="s">
        <v>381</v>
      </c>
      <c r="B354" s="1">
        <v>45646</v>
      </c>
      <c r="C354" s="1">
        <v>45650</v>
      </c>
      <c r="D354" s="6">
        <f t="shared" si="10"/>
        <v>4</v>
      </c>
      <c r="E354" t="s">
        <v>18</v>
      </c>
      <c r="F354" t="s">
        <v>31</v>
      </c>
      <c r="G354" t="s">
        <v>19</v>
      </c>
      <c r="H354" t="s">
        <v>40</v>
      </c>
      <c r="I354">
        <v>6</v>
      </c>
      <c r="J354" s="2">
        <v>211.63</v>
      </c>
      <c r="K354" s="2">
        <v>136.28</v>
      </c>
      <c r="L354" s="2">
        <f t="shared" si="11"/>
        <v>75.349999999999994</v>
      </c>
      <c r="M354" t="s">
        <v>16</v>
      </c>
    </row>
    <row r="355" spans="1:13" x14ac:dyDescent="0.3">
      <c r="A355" t="s">
        <v>382</v>
      </c>
      <c r="B355" s="1">
        <v>45395</v>
      </c>
      <c r="C355" s="1">
        <v>45401</v>
      </c>
      <c r="D355" s="6">
        <f t="shared" si="10"/>
        <v>6</v>
      </c>
      <c r="E355" t="s">
        <v>12</v>
      </c>
      <c r="F355" t="s">
        <v>27</v>
      </c>
      <c r="G355" t="s">
        <v>14</v>
      </c>
      <c r="H355" t="s">
        <v>40</v>
      </c>
      <c r="I355">
        <v>5</v>
      </c>
      <c r="J355" s="2">
        <v>1430.86</v>
      </c>
      <c r="K355" s="2">
        <v>899.03</v>
      </c>
      <c r="L355" s="2">
        <f t="shared" si="11"/>
        <v>531.82999999999993</v>
      </c>
      <c r="M355" t="s">
        <v>29</v>
      </c>
    </row>
    <row r="356" spans="1:13" x14ac:dyDescent="0.3">
      <c r="A356" t="s">
        <v>383</v>
      </c>
      <c r="B356" s="1">
        <v>45500</v>
      </c>
      <c r="C356" s="1">
        <v>45508</v>
      </c>
      <c r="D356" s="6">
        <f t="shared" si="10"/>
        <v>8</v>
      </c>
      <c r="E356" t="s">
        <v>23</v>
      </c>
      <c r="F356" t="s">
        <v>13</v>
      </c>
      <c r="G356" t="s">
        <v>14</v>
      </c>
      <c r="H356" t="s">
        <v>20</v>
      </c>
      <c r="I356">
        <v>5</v>
      </c>
      <c r="J356" s="2">
        <v>494.03</v>
      </c>
      <c r="K356" s="2">
        <v>393.71</v>
      </c>
      <c r="L356" s="2">
        <f t="shared" si="11"/>
        <v>100.32</v>
      </c>
      <c r="M356" t="s">
        <v>16</v>
      </c>
    </row>
    <row r="357" spans="1:13" x14ac:dyDescent="0.3">
      <c r="A357" t="s">
        <v>384</v>
      </c>
      <c r="B357" s="1">
        <v>45633</v>
      </c>
      <c r="C357" s="1">
        <v>45635</v>
      </c>
      <c r="D357" s="6">
        <f t="shared" si="10"/>
        <v>2</v>
      </c>
      <c r="E357" t="s">
        <v>42</v>
      </c>
      <c r="F357" t="s">
        <v>31</v>
      </c>
      <c r="G357" t="s">
        <v>14</v>
      </c>
      <c r="H357" t="s">
        <v>25</v>
      </c>
      <c r="I357">
        <v>4</v>
      </c>
      <c r="J357" s="2">
        <v>172.21</v>
      </c>
      <c r="K357" s="2">
        <v>123.18</v>
      </c>
      <c r="L357" s="2">
        <f t="shared" si="11"/>
        <v>49.03</v>
      </c>
      <c r="M357" t="s">
        <v>16</v>
      </c>
    </row>
    <row r="358" spans="1:13" x14ac:dyDescent="0.3">
      <c r="A358" t="s">
        <v>385</v>
      </c>
      <c r="B358" s="1">
        <v>45437</v>
      </c>
      <c r="C358" s="1">
        <v>45443</v>
      </c>
      <c r="D358" s="6">
        <f t="shared" si="10"/>
        <v>6</v>
      </c>
      <c r="E358" t="s">
        <v>23</v>
      </c>
      <c r="F358" t="s">
        <v>31</v>
      </c>
      <c r="G358" t="s">
        <v>19</v>
      </c>
      <c r="H358" t="s">
        <v>40</v>
      </c>
      <c r="I358">
        <v>9</v>
      </c>
      <c r="J358" s="2">
        <v>613.97</v>
      </c>
      <c r="K358" s="2">
        <v>405.28</v>
      </c>
      <c r="L358" s="2">
        <f t="shared" si="11"/>
        <v>208.69000000000005</v>
      </c>
      <c r="M358" t="s">
        <v>21</v>
      </c>
    </row>
    <row r="359" spans="1:13" x14ac:dyDescent="0.3">
      <c r="A359" t="s">
        <v>386</v>
      </c>
      <c r="B359" s="1">
        <v>45328</v>
      </c>
      <c r="C359" s="1">
        <v>45338</v>
      </c>
      <c r="D359" s="6">
        <f t="shared" si="10"/>
        <v>10</v>
      </c>
      <c r="E359" t="s">
        <v>18</v>
      </c>
      <c r="F359" t="s">
        <v>31</v>
      </c>
      <c r="G359" t="s">
        <v>19</v>
      </c>
      <c r="H359" t="s">
        <v>20</v>
      </c>
      <c r="I359">
        <v>3</v>
      </c>
      <c r="J359" s="2">
        <v>1951.85</v>
      </c>
      <c r="K359" s="2">
        <v>1656.78</v>
      </c>
      <c r="L359" s="2">
        <f t="shared" si="11"/>
        <v>295.06999999999994</v>
      </c>
      <c r="M359" t="s">
        <v>16</v>
      </c>
    </row>
    <row r="360" spans="1:13" x14ac:dyDescent="0.3">
      <c r="A360" t="s">
        <v>387</v>
      </c>
      <c r="B360" s="1">
        <v>45310</v>
      </c>
      <c r="C360" s="1">
        <v>45316</v>
      </c>
      <c r="D360" s="6">
        <f t="shared" si="10"/>
        <v>6</v>
      </c>
      <c r="E360" t="s">
        <v>18</v>
      </c>
      <c r="F360" t="s">
        <v>33</v>
      </c>
      <c r="G360" t="s">
        <v>14</v>
      </c>
      <c r="H360" t="s">
        <v>25</v>
      </c>
      <c r="I360">
        <v>4</v>
      </c>
      <c r="J360" s="2">
        <v>1437.14</v>
      </c>
      <c r="K360" s="2">
        <v>1124.98</v>
      </c>
      <c r="L360" s="2">
        <f t="shared" si="11"/>
        <v>312.16000000000008</v>
      </c>
      <c r="M360" t="s">
        <v>21</v>
      </c>
    </row>
    <row r="361" spans="1:13" x14ac:dyDescent="0.3">
      <c r="A361" t="s">
        <v>388</v>
      </c>
      <c r="B361" s="1">
        <v>45563</v>
      </c>
      <c r="C361" s="1">
        <v>45571</v>
      </c>
      <c r="D361" s="6">
        <f t="shared" si="10"/>
        <v>8</v>
      </c>
      <c r="E361" t="s">
        <v>12</v>
      </c>
      <c r="F361" t="s">
        <v>24</v>
      </c>
      <c r="G361" t="s">
        <v>19</v>
      </c>
      <c r="H361" t="s">
        <v>20</v>
      </c>
      <c r="I361">
        <v>3</v>
      </c>
      <c r="J361" s="2">
        <v>1373.65</v>
      </c>
      <c r="K361" s="2">
        <v>1027.9100000000001</v>
      </c>
      <c r="L361" s="2">
        <f t="shared" si="11"/>
        <v>345.74</v>
      </c>
      <c r="M361" t="s">
        <v>21</v>
      </c>
    </row>
    <row r="362" spans="1:13" x14ac:dyDescent="0.3">
      <c r="A362" t="s">
        <v>389</v>
      </c>
      <c r="B362" s="1">
        <v>45317</v>
      </c>
      <c r="C362" s="1">
        <v>45327</v>
      </c>
      <c r="D362" s="6">
        <f t="shared" si="10"/>
        <v>10</v>
      </c>
      <c r="E362" t="s">
        <v>18</v>
      </c>
      <c r="F362" t="s">
        <v>13</v>
      </c>
      <c r="G362" t="s">
        <v>14</v>
      </c>
      <c r="H362" t="s">
        <v>15</v>
      </c>
      <c r="I362">
        <v>8</v>
      </c>
      <c r="J362" s="2">
        <v>128.25</v>
      </c>
      <c r="K362" s="2">
        <v>79.400000000000006</v>
      </c>
      <c r="L362" s="2">
        <f t="shared" si="11"/>
        <v>48.849999999999994</v>
      </c>
      <c r="M362" t="s">
        <v>21</v>
      </c>
    </row>
    <row r="363" spans="1:13" x14ac:dyDescent="0.3">
      <c r="A363" t="s">
        <v>390</v>
      </c>
      <c r="B363" s="1">
        <v>45393</v>
      </c>
      <c r="C363" s="1">
        <v>45395</v>
      </c>
      <c r="D363" s="6">
        <f t="shared" si="10"/>
        <v>2</v>
      </c>
      <c r="E363" t="s">
        <v>12</v>
      </c>
      <c r="F363" t="s">
        <v>27</v>
      </c>
      <c r="G363" t="s">
        <v>14</v>
      </c>
      <c r="H363" t="s">
        <v>25</v>
      </c>
      <c r="I363">
        <v>5</v>
      </c>
      <c r="J363" s="2">
        <v>125.71</v>
      </c>
      <c r="K363" s="2">
        <v>106.75</v>
      </c>
      <c r="L363" s="2">
        <f t="shared" si="11"/>
        <v>18.959999999999994</v>
      </c>
      <c r="M363" t="s">
        <v>21</v>
      </c>
    </row>
    <row r="364" spans="1:13" x14ac:dyDescent="0.3">
      <c r="A364" t="s">
        <v>391</v>
      </c>
      <c r="B364" s="1">
        <v>45295</v>
      </c>
      <c r="C364" s="1">
        <v>45300</v>
      </c>
      <c r="D364" s="6">
        <f t="shared" si="10"/>
        <v>5</v>
      </c>
      <c r="E364" t="s">
        <v>42</v>
      </c>
      <c r="F364" t="s">
        <v>24</v>
      </c>
      <c r="G364" t="s">
        <v>19</v>
      </c>
      <c r="H364" t="s">
        <v>25</v>
      </c>
      <c r="I364">
        <v>10</v>
      </c>
      <c r="J364" s="2">
        <v>622.27</v>
      </c>
      <c r="K364" s="2">
        <v>518.66</v>
      </c>
      <c r="L364" s="2">
        <f t="shared" si="11"/>
        <v>103.61000000000001</v>
      </c>
      <c r="M364" t="s">
        <v>29</v>
      </c>
    </row>
    <row r="365" spans="1:13" x14ac:dyDescent="0.3">
      <c r="A365" t="s">
        <v>392</v>
      </c>
      <c r="B365" s="1">
        <v>45578</v>
      </c>
      <c r="C365" s="1">
        <v>45582</v>
      </c>
      <c r="D365" s="6">
        <f t="shared" si="10"/>
        <v>4</v>
      </c>
      <c r="E365" t="s">
        <v>23</v>
      </c>
      <c r="F365" t="s">
        <v>31</v>
      </c>
      <c r="G365" t="s">
        <v>14</v>
      </c>
      <c r="H365" t="s">
        <v>40</v>
      </c>
      <c r="I365">
        <v>8</v>
      </c>
      <c r="J365" s="2">
        <v>1644.67</v>
      </c>
      <c r="K365" s="2">
        <v>1292.1600000000001</v>
      </c>
      <c r="L365" s="2">
        <f t="shared" si="11"/>
        <v>352.51</v>
      </c>
      <c r="M365" t="s">
        <v>29</v>
      </c>
    </row>
    <row r="366" spans="1:13" x14ac:dyDescent="0.3">
      <c r="A366" t="s">
        <v>393</v>
      </c>
      <c r="B366" s="1">
        <v>45302</v>
      </c>
      <c r="C366" s="1">
        <v>45304</v>
      </c>
      <c r="D366" s="6">
        <f t="shared" si="10"/>
        <v>2</v>
      </c>
      <c r="E366" t="s">
        <v>23</v>
      </c>
      <c r="F366" t="s">
        <v>13</v>
      </c>
      <c r="G366" t="s">
        <v>19</v>
      </c>
      <c r="H366" t="s">
        <v>15</v>
      </c>
      <c r="I366">
        <v>6</v>
      </c>
      <c r="J366" s="2">
        <v>1430.38</v>
      </c>
      <c r="K366" s="2">
        <v>1181.04</v>
      </c>
      <c r="L366" s="2">
        <f t="shared" si="11"/>
        <v>249.34000000000015</v>
      </c>
      <c r="M366" t="s">
        <v>16</v>
      </c>
    </row>
    <row r="367" spans="1:13" x14ac:dyDescent="0.3">
      <c r="A367" t="s">
        <v>394</v>
      </c>
      <c r="B367" s="1">
        <v>45607</v>
      </c>
      <c r="C367" s="1">
        <v>45617</v>
      </c>
      <c r="D367" s="6">
        <f t="shared" si="10"/>
        <v>10</v>
      </c>
      <c r="E367" t="s">
        <v>12</v>
      </c>
      <c r="F367" t="s">
        <v>24</v>
      </c>
      <c r="G367" t="s">
        <v>14</v>
      </c>
      <c r="H367" t="s">
        <v>20</v>
      </c>
      <c r="I367">
        <v>4</v>
      </c>
      <c r="J367" s="2">
        <v>1050.8599999999999</v>
      </c>
      <c r="K367" s="2">
        <v>671.98</v>
      </c>
      <c r="L367" s="2">
        <f t="shared" si="11"/>
        <v>378.87999999999988</v>
      </c>
      <c r="M367" t="s">
        <v>21</v>
      </c>
    </row>
    <row r="368" spans="1:13" x14ac:dyDescent="0.3">
      <c r="A368" t="s">
        <v>395</v>
      </c>
      <c r="B368" s="1">
        <v>45307</v>
      </c>
      <c r="C368" s="1">
        <v>45314</v>
      </c>
      <c r="D368" s="6">
        <f t="shared" si="10"/>
        <v>7</v>
      </c>
      <c r="E368" t="s">
        <v>23</v>
      </c>
      <c r="F368" t="s">
        <v>24</v>
      </c>
      <c r="G368" t="s">
        <v>19</v>
      </c>
      <c r="H368" t="s">
        <v>20</v>
      </c>
      <c r="I368">
        <v>5</v>
      </c>
      <c r="J368" s="2">
        <v>192.26</v>
      </c>
      <c r="K368" s="2">
        <v>119.59</v>
      </c>
      <c r="L368" s="2">
        <f t="shared" si="11"/>
        <v>72.669999999999987</v>
      </c>
      <c r="M368" t="s">
        <v>21</v>
      </c>
    </row>
    <row r="369" spans="1:13" x14ac:dyDescent="0.3">
      <c r="A369" t="s">
        <v>396</v>
      </c>
      <c r="B369" s="1">
        <v>45520</v>
      </c>
      <c r="C369" s="1">
        <v>45522</v>
      </c>
      <c r="D369" s="6">
        <f t="shared" si="10"/>
        <v>2</v>
      </c>
      <c r="E369" t="s">
        <v>42</v>
      </c>
      <c r="F369" t="s">
        <v>33</v>
      </c>
      <c r="G369" t="s">
        <v>19</v>
      </c>
      <c r="H369" t="s">
        <v>20</v>
      </c>
      <c r="I369">
        <v>7</v>
      </c>
      <c r="J369" s="2">
        <v>1070.6300000000001</v>
      </c>
      <c r="K369" s="2">
        <v>646.77</v>
      </c>
      <c r="L369" s="2">
        <f t="shared" si="11"/>
        <v>423.86000000000013</v>
      </c>
      <c r="M369" t="s">
        <v>29</v>
      </c>
    </row>
    <row r="370" spans="1:13" x14ac:dyDescent="0.3">
      <c r="A370" t="s">
        <v>397</v>
      </c>
      <c r="B370" s="1">
        <v>45569</v>
      </c>
      <c r="C370" s="1">
        <v>45579</v>
      </c>
      <c r="D370" s="6">
        <f t="shared" si="10"/>
        <v>10</v>
      </c>
      <c r="E370" t="s">
        <v>18</v>
      </c>
      <c r="F370" t="s">
        <v>27</v>
      </c>
      <c r="G370" t="s">
        <v>19</v>
      </c>
      <c r="H370" t="s">
        <v>20</v>
      </c>
      <c r="I370">
        <v>6</v>
      </c>
      <c r="J370" s="2">
        <v>1418.72</v>
      </c>
      <c r="K370" s="2">
        <v>1171.8</v>
      </c>
      <c r="L370" s="2">
        <f t="shared" si="11"/>
        <v>246.92000000000007</v>
      </c>
      <c r="M370" t="s">
        <v>21</v>
      </c>
    </row>
    <row r="371" spans="1:13" x14ac:dyDescent="0.3">
      <c r="A371" t="s">
        <v>398</v>
      </c>
      <c r="B371" s="1">
        <v>45567</v>
      </c>
      <c r="C371" s="1">
        <v>45569</v>
      </c>
      <c r="D371" s="6">
        <f t="shared" si="10"/>
        <v>2</v>
      </c>
      <c r="E371" t="s">
        <v>23</v>
      </c>
      <c r="F371" t="s">
        <v>27</v>
      </c>
      <c r="G371" t="s">
        <v>14</v>
      </c>
      <c r="H371" t="s">
        <v>25</v>
      </c>
      <c r="I371">
        <v>6</v>
      </c>
      <c r="J371" s="2">
        <v>1421.77</v>
      </c>
      <c r="K371" s="2">
        <v>868.09</v>
      </c>
      <c r="L371" s="2">
        <f t="shared" si="11"/>
        <v>553.67999999999995</v>
      </c>
      <c r="M371" t="s">
        <v>16</v>
      </c>
    </row>
    <row r="372" spans="1:13" x14ac:dyDescent="0.3">
      <c r="A372" t="s">
        <v>399</v>
      </c>
      <c r="B372" s="1">
        <v>45367</v>
      </c>
      <c r="C372" s="1">
        <v>45377</v>
      </c>
      <c r="D372" s="6">
        <f t="shared" si="10"/>
        <v>10</v>
      </c>
      <c r="E372" t="s">
        <v>42</v>
      </c>
      <c r="F372" t="s">
        <v>27</v>
      </c>
      <c r="G372" t="s">
        <v>14</v>
      </c>
      <c r="H372" t="s">
        <v>40</v>
      </c>
      <c r="I372">
        <v>4</v>
      </c>
      <c r="J372" s="2">
        <v>143.09</v>
      </c>
      <c r="K372" s="2">
        <v>107.22</v>
      </c>
      <c r="L372" s="2">
        <f t="shared" si="11"/>
        <v>35.870000000000005</v>
      </c>
      <c r="M372" t="s">
        <v>16</v>
      </c>
    </row>
    <row r="373" spans="1:13" x14ac:dyDescent="0.3">
      <c r="A373" t="s">
        <v>400</v>
      </c>
      <c r="B373" s="1">
        <v>45481</v>
      </c>
      <c r="C373" s="1">
        <v>45486</v>
      </c>
      <c r="D373" s="6">
        <f t="shared" si="10"/>
        <v>5</v>
      </c>
      <c r="E373" t="s">
        <v>12</v>
      </c>
      <c r="F373" t="s">
        <v>33</v>
      </c>
      <c r="G373" t="s">
        <v>19</v>
      </c>
      <c r="H373" t="s">
        <v>25</v>
      </c>
      <c r="I373">
        <v>3</v>
      </c>
      <c r="J373" s="2">
        <v>998.86</v>
      </c>
      <c r="K373" s="2">
        <v>811.14</v>
      </c>
      <c r="L373" s="2">
        <f t="shared" si="11"/>
        <v>187.72000000000003</v>
      </c>
      <c r="M373" t="s">
        <v>29</v>
      </c>
    </row>
    <row r="374" spans="1:13" x14ac:dyDescent="0.3">
      <c r="A374" t="s">
        <v>401</v>
      </c>
      <c r="B374" s="1">
        <v>45457</v>
      </c>
      <c r="C374" s="1">
        <v>45464</v>
      </c>
      <c r="D374" s="6">
        <f t="shared" si="10"/>
        <v>7</v>
      </c>
      <c r="E374" t="s">
        <v>23</v>
      </c>
      <c r="F374" t="s">
        <v>31</v>
      </c>
      <c r="G374" t="s">
        <v>14</v>
      </c>
      <c r="H374" t="s">
        <v>25</v>
      </c>
      <c r="I374">
        <v>1</v>
      </c>
      <c r="J374" s="2">
        <v>747.98</v>
      </c>
      <c r="K374" s="2">
        <v>578.32000000000005</v>
      </c>
      <c r="L374" s="2">
        <f t="shared" si="11"/>
        <v>169.65999999999997</v>
      </c>
      <c r="M374" t="s">
        <v>21</v>
      </c>
    </row>
    <row r="375" spans="1:13" x14ac:dyDescent="0.3">
      <c r="A375" t="s">
        <v>402</v>
      </c>
      <c r="B375" s="1">
        <v>45314</v>
      </c>
      <c r="C375" s="1">
        <v>45324</v>
      </c>
      <c r="D375" s="6">
        <f t="shared" si="10"/>
        <v>10</v>
      </c>
      <c r="E375" t="s">
        <v>12</v>
      </c>
      <c r="F375" t="s">
        <v>13</v>
      </c>
      <c r="G375" t="s">
        <v>19</v>
      </c>
      <c r="H375" t="s">
        <v>20</v>
      </c>
      <c r="I375">
        <v>10</v>
      </c>
      <c r="J375" s="2">
        <v>185.25</v>
      </c>
      <c r="K375" s="2">
        <v>141.31</v>
      </c>
      <c r="L375" s="2">
        <f t="shared" si="11"/>
        <v>43.94</v>
      </c>
      <c r="M375" t="s">
        <v>16</v>
      </c>
    </row>
    <row r="376" spans="1:13" x14ac:dyDescent="0.3">
      <c r="A376" t="s">
        <v>403</v>
      </c>
      <c r="B376" s="1">
        <v>45355</v>
      </c>
      <c r="C376" s="1">
        <v>45365</v>
      </c>
      <c r="D376" s="6">
        <f t="shared" si="10"/>
        <v>10</v>
      </c>
      <c r="E376" t="s">
        <v>42</v>
      </c>
      <c r="F376" t="s">
        <v>24</v>
      </c>
      <c r="G376" t="s">
        <v>14</v>
      </c>
      <c r="H376" t="s">
        <v>15</v>
      </c>
      <c r="I376">
        <v>1</v>
      </c>
      <c r="J376" s="2">
        <v>365.83</v>
      </c>
      <c r="K376" s="2">
        <v>257.91000000000003</v>
      </c>
      <c r="L376" s="2">
        <f t="shared" si="11"/>
        <v>107.91999999999996</v>
      </c>
      <c r="M376" t="s">
        <v>16</v>
      </c>
    </row>
    <row r="377" spans="1:13" x14ac:dyDescent="0.3">
      <c r="A377" t="s">
        <v>404</v>
      </c>
      <c r="B377" s="1">
        <v>45577</v>
      </c>
      <c r="C377" s="1">
        <v>45579</v>
      </c>
      <c r="D377" s="6">
        <f t="shared" si="10"/>
        <v>2</v>
      </c>
      <c r="E377" t="s">
        <v>12</v>
      </c>
      <c r="F377" t="s">
        <v>33</v>
      </c>
      <c r="G377" t="s">
        <v>14</v>
      </c>
      <c r="H377" t="s">
        <v>25</v>
      </c>
      <c r="I377">
        <v>8</v>
      </c>
      <c r="J377" s="2">
        <v>888.2</v>
      </c>
      <c r="K377" s="2">
        <v>655.4</v>
      </c>
      <c r="L377" s="2">
        <f t="shared" si="11"/>
        <v>232.80000000000007</v>
      </c>
      <c r="M377" t="s">
        <v>29</v>
      </c>
    </row>
    <row r="378" spans="1:13" x14ac:dyDescent="0.3">
      <c r="A378" t="s">
        <v>405</v>
      </c>
      <c r="B378" s="1">
        <v>45463</v>
      </c>
      <c r="C378" s="1">
        <v>45466</v>
      </c>
      <c r="D378" s="6">
        <f t="shared" si="10"/>
        <v>3</v>
      </c>
      <c r="E378" t="s">
        <v>42</v>
      </c>
      <c r="F378" t="s">
        <v>31</v>
      </c>
      <c r="G378" t="s">
        <v>19</v>
      </c>
      <c r="H378" t="s">
        <v>20</v>
      </c>
      <c r="I378">
        <v>10</v>
      </c>
      <c r="J378" s="2">
        <v>551.02</v>
      </c>
      <c r="K378" s="2">
        <v>447.74</v>
      </c>
      <c r="L378" s="2">
        <f t="shared" si="11"/>
        <v>103.27999999999997</v>
      </c>
      <c r="M378" t="s">
        <v>29</v>
      </c>
    </row>
    <row r="379" spans="1:13" x14ac:dyDescent="0.3">
      <c r="A379" t="s">
        <v>406</v>
      </c>
      <c r="B379" s="1">
        <v>45596</v>
      </c>
      <c r="C379" s="1">
        <v>45599</v>
      </c>
      <c r="D379" s="6">
        <f t="shared" si="10"/>
        <v>3</v>
      </c>
      <c r="E379" t="s">
        <v>12</v>
      </c>
      <c r="F379" t="s">
        <v>24</v>
      </c>
      <c r="G379" t="s">
        <v>19</v>
      </c>
      <c r="H379" t="s">
        <v>20</v>
      </c>
      <c r="I379">
        <v>1</v>
      </c>
      <c r="J379" s="2">
        <v>475.84</v>
      </c>
      <c r="K379" s="2">
        <v>387.81</v>
      </c>
      <c r="L379" s="2">
        <f t="shared" si="11"/>
        <v>88.029999999999973</v>
      </c>
      <c r="M379" t="s">
        <v>16</v>
      </c>
    </row>
    <row r="380" spans="1:13" x14ac:dyDescent="0.3">
      <c r="A380" t="s">
        <v>407</v>
      </c>
      <c r="B380" s="1">
        <v>45633</v>
      </c>
      <c r="C380" s="1">
        <v>45640</v>
      </c>
      <c r="D380" s="6">
        <f t="shared" si="10"/>
        <v>7</v>
      </c>
      <c r="E380" t="s">
        <v>18</v>
      </c>
      <c r="F380" t="s">
        <v>13</v>
      </c>
      <c r="G380" t="s">
        <v>19</v>
      </c>
      <c r="H380" t="s">
        <v>20</v>
      </c>
      <c r="I380">
        <v>2</v>
      </c>
      <c r="J380" s="2">
        <v>643.91</v>
      </c>
      <c r="K380" s="2">
        <v>395.06</v>
      </c>
      <c r="L380" s="2">
        <f t="shared" si="11"/>
        <v>248.84999999999997</v>
      </c>
      <c r="M380" t="s">
        <v>29</v>
      </c>
    </row>
    <row r="381" spans="1:13" x14ac:dyDescent="0.3">
      <c r="A381" t="s">
        <v>408</v>
      </c>
      <c r="B381" s="1">
        <v>45445</v>
      </c>
      <c r="C381" s="1">
        <v>45448</v>
      </c>
      <c r="D381" s="6">
        <f t="shared" si="10"/>
        <v>3</v>
      </c>
      <c r="E381" t="s">
        <v>42</v>
      </c>
      <c r="F381" t="s">
        <v>27</v>
      </c>
      <c r="G381" t="s">
        <v>14</v>
      </c>
      <c r="H381" t="s">
        <v>15</v>
      </c>
      <c r="I381">
        <v>8</v>
      </c>
      <c r="J381" s="2">
        <v>313.27</v>
      </c>
      <c r="K381" s="2">
        <v>228.1</v>
      </c>
      <c r="L381" s="2">
        <f t="shared" si="11"/>
        <v>85.169999999999987</v>
      </c>
      <c r="M381" t="s">
        <v>29</v>
      </c>
    </row>
    <row r="382" spans="1:13" x14ac:dyDescent="0.3">
      <c r="A382" t="s">
        <v>409</v>
      </c>
      <c r="B382" s="1">
        <v>45587</v>
      </c>
      <c r="C382" s="1">
        <v>45594</v>
      </c>
      <c r="D382" s="6">
        <f t="shared" si="10"/>
        <v>7</v>
      </c>
      <c r="E382" t="s">
        <v>23</v>
      </c>
      <c r="F382" t="s">
        <v>27</v>
      </c>
      <c r="G382" t="s">
        <v>19</v>
      </c>
      <c r="H382" t="s">
        <v>40</v>
      </c>
      <c r="I382">
        <v>5</v>
      </c>
      <c r="J382" s="2">
        <v>583.34</v>
      </c>
      <c r="K382" s="2">
        <v>351.74</v>
      </c>
      <c r="L382" s="2">
        <f t="shared" si="11"/>
        <v>231.60000000000002</v>
      </c>
      <c r="M382" t="s">
        <v>21</v>
      </c>
    </row>
    <row r="383" spans="1:13" x14ac:dyDescent="0.3">
      <c r="A383" t="s">
        <v>410</v>
      </c>
      <c r="B383" s="1">
        <v>45377</v>
      </c>
      <c r="C383" s="1">
        <v>45381</v>
      </c>
      <c r="D383" s="6">
        <f t="shared" si="10"/>
        <v>4</v>
      </c>
      <c r="E383" t="s">
        <v>23</v>
      </c>
      <c r="F383" t="s">
        <v>27</v>
      </c>
      <c r="G383" t="s">
        <v>14</v>
      </c>
      <c r="H383" t="s">
        <v>40</v>
      </c>
      <c r="I383">
        <v>3</v>
      </c>
      <c r="J383" s="2">
        <v>1842.56</v>
      </c>
      <c r="K383" s="2">
        <v>1227.22</v>
      </c>
      <c r="L383" s="2">
        <f t="shared" si="11"/>
        <v>615.33999999999992</v>
      </c>
      <c r="M383" t="s">
        <v>29</v>
      </c>
    </row>
    <row r="384" spans="1:13" x14ac:dyDescent="0.3">
      <c r="A384" t="s">
        <v>411</v>
      </c>
      <c r="B384" s="1">
        <v>45574</v>
      </c>
      <c r="C384" s="1">
        <v>45580</v>
      </c>
      <c r="D384" s="6">
        <f t="shared" si="10"/>
        <v>6</v>
      </c>
      <c r="E384" t="s">
        <v>23</v>
      </c>
      <c r="F384" t="s">
        <v>13</v>
      </c>
      <c r="G384" t="s">
        <v>14</v>
      </c>
      <c r="H384" t="s">
        <v>15</v>
      </c>
      <c r="I384">
        <v>1</v>
      </c>
      <c r="J384" s="2">
        <v>423.68</v>
      </c>
      <c r="K384" s="2">
        <v>259.19</v>
      </c>
      <c r="L384" s="2">
        <f t="shared" si="11"/>
        <v>164.49</v>
      </c>
      <c r="M384" t="s">
        <v>16</v>
      </c>
    </row>
    <row r="385" spans="1:13" x14ac:dyDescent="0.3">
      <c r="A385" t="s">
        <v>412</v>
      </c>
      <c r="B385" s="1">
        <v>45304</v>
      </c>
      <c r="C385" s="1">
        <v>45309</v>
      </c>
      <c r="D385" s="6">
        <f t="shared" si="10"/>
        <v>5</v>
      </c>
      <c r="E385" t="s">
        <v>23</v>
      </c>
      <c r="F385" t="s">
        <v>24</v>
      </c>
      <c r="G385" t="s">
        <v>19</v>
      </c>
      <c r="H385" t="s">
        <v>15</v>
      </c>
      <c r="I385">
        <v>9</v>
      </c>
      <c r="J385" s="2">
        <v>744.49</v>
      </c>
      <c r="K385" s="2">
        <v>450.09</v>
      </c>
      <c r="L385" s="2">
        <f t="shared" si="11"/>
        <v>294.40000000000003</v>
      </c>
      <c r="M385" t="s">
        <v>16</v>
      </c>
    </row>
    <row r="386" spans="1:13" x14ac:dyDescent="0.3">
      <c r="A386" t="s">
        <v>413</v>
      </c>
      <c r="B386" s="1">
        <v>45512</v>
      </c>
      <c r="C386" s="1">
        <v>45518</v>
      </c>
      <c r="D386" s="6">
        <f t="shared" si="10"/>
        <v>6</v>
      </c>
      <c r="E386" t="s">
        <v>23</v>
      </c>
      <c r="F386" t="s">
        <v>13</v>
      </c>
      <c r="G386" t="s">
        <v>14</v>
      </c>
      <c r="H386" t="s">
        <v>15</v>
      </c>
      <c r="I386">
        <v>9</v>
      </c>
      <c r="J386" s="2">
        <v>571.27</v>
      </c>
      <c r="K386" s="2">
        <v>421.55</v>
      </c>
      <c r="L386" s="2">
        <f t="shared" si="11"/>
        <v>149.71999999999997</v>
      </c>
      <c r="M386" t="s">
        <v>21</v>
      </c>
    </row>
    <row r="387" spans="1:13" x14ac:dyDescent="0.3">
      <c r="A387" t="s">
        <v>414</v>
      </c>
      <c r="B387" s="1">
        <v>45376</v>
      </c>
      <c r="C387" s="1">
        <v>45381</v>
      </c>
      <c r="D387" s="6">
        <f t="shared" ref="D387:D450" si="12">C387-B387</f>
        <v>5</v>
      </c>
      <c r="E387" t="s">
        <v>42</v>
      </c>
      <c r="F387" t="s">
        <v>33</v>
      </c>
      <c r="G387" t="s">
        <v>14</v>
      </c>
      <c r="H387" t="s">
        <v>20</v>
      </c>
      <c r="I387">
        <v>8</v>
      </c>
      <c r="J387" s="2">
        <v>161.21</v>
      </c>
      <c r="K387" s="2">
        <v>126.04</v>
      </c>
      <c r="L387" s="2">
        <f t="shared" ref="L387:L450" si="13">J387-K387</f>
        <v>35.17</v>
      </c>
      <c r="M387" t="s">
        <v>16</v>
      </c>
    </row>
    <row r="388" spans="1:13" x14ac:dyDescent="0.3">
      <c r="A388" t="s">
        <v>415</v>
      </c>
      <c r="B388" s="1">
        <v>45516</v>
      </c>
      <c r="C388" s="1">
        <v>45524</v>
      </c>
      <c r="D388" s="6">
        <f t="shared" si="12"/>
        <v>8</v>
      </c>
      <c r="E388" t="s">
        <v>42</v>
      </c>
      <c r="F388" t="s">
        <v>13</v>
      </c>
      <c r="G388" t="s">
        <v>14</v>
      </c>
      <c r="H388" t="s">
        <v>40</v>
      </c>
      <c r="I388">
        <v>10</v>
      </c>
      <c r="J388" s="2">
        <v>1108.56</v>
      </c>
      <c r="K388" s="2">
        <v>678.16</v>
      </c>
      <c r="L388" s="2">
        <f t="shared" si="13"/>
        <v>430.4</v>
      </c>
      <c r="M388" t="s">
        <v>21</v>
      </c>
    </row>
    <row r="389" spans="1:13" x14ac:dyDescent="0.3">
      <c r="A389" t="s">
        <v>416</v>
      </c>
      <c r="B389" s="1">
        <v>45581</v>
      </c>
      <c r="C389" s="1">
        <v>45585</v>
      </c>
      <c r="D389" s="6">
        <f t="shared" si="12"/>
        <v>4</v>
      </c>
      <c r="E389" t="s">
        <v>12</v>
      </c>
      <c r="F389" t="s">
        <v>31</v>
      </c>
      <c r="G389" t="s">
        <v>19</v>
      </c>
      <c r="H389" t="s">
        <v>25</v>
      </c>
      <c r="I389">
        <v>5</v>
      </c>
      <c r="J389" s="2">
        <v>1381.24</v>
      </c>
      <c r="K389" s="2">
        <v>1096.92</v>
      </c>
      <c r="L389" s="2">
        <f t="shared" si="13"/>
        <v>284.31999999999994</v>
      </c>
      <c r="M389" t="s">
        <v>21</v>
      </c>
    </row>
    <row r="390" spans="1:13" x14ac:dyDescent="0.3">
      <c r="A390" t="s">
        <v>417</v>
      </c>
      <c r="B390" s="1">
        <v>45569</v>
      </c>
      <c r="C390" s="1">
        <v>45571</v>
      </c>
      <c r="D390" s="6">
        <f t="shared" si="12"/>
        <v>2</v>
      </c>
      <c r="E390" t="s">
        <v>18</v>
      </c>
      <c r="F390" t="s">
        <v>31</v>
      </c>
      <c r="G390" t="s">
        <v>19</v>
      </c>
      <c r="H390" t="s">
        <v>40</v>
      </c>
      <c r="I390">
        <v>6</v>
      </c>
      <c r="J390" s="2">
        <v>349.42</v>
      </c>
      <c r="K390" s="2">
        <v>240</v>
      </c>
      <c r="L390" s="2">
        <f t="shared" si="13"/>
        <v>109.42000000000002</v>
      </c>
      <c r="M390" t="s">
        <v>21</v>
      </c>
    </row>
    <row r="391" spans="1:13" x14ac:dyDescent="0.3">
      <c r="A391" t="s">
        <v>418</v>
      </c>
      <c r="B391" s="1">
        <v>45397</v>
      </c>
      <c r="C391" s="1">
        <v>45399</v>
      </c>
      <c r="D391" s="6">
        <f t="shared" si="12"/>
        <v>2</v>
      </c>
      <c r="E391" t="s">
        <v>42</v>
      </c>
      <c r="F391" t="s">
        <v>13</v>
      </c>
      <c r="G391" t="s">
        <v>14</v>
      </c>
      <c r="H391" t="s">
        <v>25</v>
      </c>
      <c r="I391">
        <v>10</v>
      </c>
      <c r="J391" s="2">
        <v>379.6</v>
      </c>
      <c r="K391" s="2">
        <v>233.13</v>
      </c>
      <c r="L391" s="2">
        <f t="shared" si="13"/>
        <v>146.47000000000003</v>
      </c>
      <c r="M391" t="s">
        <v>16</v>
      </c>
    </row>
    <row r="392" spans="1:13" x14ac:dyDescent="0.3">
      <c r="A392" t="s">
        <v>419</v>
      </c>
      <c r="B392" s="1">
        <v>45635</v>
      </c>
      <c r="C392" s="1">
        <v>45639</v>
      </c>
      <c r="D392" s="6">
        <f t="shared" si="12"/>
        <v>4</v>
      </c>
      <c r="E392" t="s">
        <v>42</v>
      </c>
      <c r="F392" t="s">
        <v>31</v>
      </c>
      <c r="G392" t="s">
        <v>19</v>
      </c>
      <c r="H392" t="s">
        <v>20</v>
      </c>
      <c r="I392">
        <v>8</v>
      </c>
      <c r="J392" s="2">
        <v>257.42</v>
      </c>
      <c r="K392" s="2">
        <v>199.17</v>
      </c>
      <c r="L392" s="2">
        <f t="shared" si="13"/>
        <v>58.250000000000028</v>
      </c>
      <c r="M392" t="s">
        <v>21</v>
      </c>
    </row>
    <row r="393" spans="1:13" x14ac:dyDescent="0.3">
      <c r="A393" t="s">
        <v>420</v>
      </c>
      <c r="B393" s="1">
        <v>45633</v>
      </c>
      <c r="C393" s="1">
        <v>45643</v>
      </c>
      <c r="D393" s="6">
        <f t="shared" si="12"/>
        <v>10</v>
      </c>
      <c r="E393" t="s">
        <v>18</v>
      </c>
      <c r="F393" t="s">
        <v>27</v>
      </c>
      <c r="G393" t="s">
        <v>14</v>
      </c>
      <c r="H393" t="s">
        <v>25</v>
      </c>
      <c r="I393">
        <v>2</v>
      </c>
      <c r="J393" s="2">
        <v>1108.3599999999999</v>
      </c>
      <c r="K393" s="2">
        <v>740.86</v>
      </c>
      <c r="L393" s="2">
        <f t="shared" si="13"/>
        <v>367.49999999999989</v>
      </c>
      <c r="M393" t="s">
        <v>29</v>
      </c>
    </row>
    <row r="394" spans="1:13" x14ac:dyDescent="0.3">
      <c r="A394" t="s">
        <v>421</v>
      </c>
      <c r="B394" s="1">
        <v>45343</v>
      </c>
      <c r="C394" s="1">
        <v>45348</v>
      </c>
      <c r="D394" s="6">
        <f t="shared" si="12"/>
        <v>5</v>
      </c>
      <c r="E394" t="s">
        <v>18</v>
      </c>
      <c r="F394" t="s">
        <v>27</v>
      </c>
      <c r="G394" t="s">
        <v>19</v>
      </c>
      <c r="H394" t="s">
        <v>15</v>
      </c>
      <c r="I394">
        <v>3</v>
      </c>
      <c r="J394" s="2">
        <v>1371.35</v>
      </c>
      <c r="K394" s="2">
        <v>1022.03</v>
      </c>
      <c r="L394" s="2">
        <f t="shared" si="13"/>
        <v>349.31999999999994</v>
      </c>
      <c r="M394" t="s">
        <v>29</v>
      </c>
    </row>
    <row r="395" spans="1:13" x14ac:dyDescent="0.3">
      <c r="A395" t="s">
        <v>422</v>
      </c>
      <c r="B395" s="1">
        <v>45362</v>
      </c>
      <c r="C395" s="1">
        <v>45368</v>
      </c>
      <c r="D395" s="6">
        <f t="shared" si="12"/>
        <v>6</v>
      </c>
      <c r="E395" t="s">
        <v>42</v>
      </c>
      <c r="F395" t="s">
        <v>31</v>
      </c>
      <c r="G395" t="s">
        <v>19</v>
      </c>
      <c r="H395" t="s">
        <v>40</v>
      </c>
      <c r="I395">
        <v>6</v>
      </c>
      <c r="J395" s="2">
        <v>1470.22</v>
      </c>
      <c r="K395" s="2">
        <v>992.77</v>
      </c>
      <c r="L395" s="2">
        <f t="shared" si="13"/>
        <v>477.45000000000005</v>
      </c>
      <c r="M395" t="s">
        <v>16</v>
      </c>
    </row>
    <row r="396" spans="1:13" x14ac:dyDescent="0.3">
      <c r="A396" t="s">
        <v>423</v>
      </c>
      <c r="B396" s="1">
        <v>45497</v>
      </c>
      <c r="C396" s="1">
        <v>45499</v>
      </c>
      <c r="D396" s="6">
        <f t="shared" si="12"/>
        <v>2</v>
      </c>
      <c r="E396" t="s">
        <v>12</v>
      </c>
      <c r="F396" t="s">
        <v>24</v>
      </c>
      <c r="G396" t="s">
        <v>19</v>
      </c>
      <c r="H396" t="s">
        <v>40</v>
      </c>
      <c r="I396">
        <v>3</v>
      </c>
      <c r="J396" s="2">
        <v>1413.18</v>
      </c>
      <c r="K396" s="2">
        <v>1011.8</v>
      </c>
      <c r="L396" s="2">
        <f t="shared" si="13"/>
        <v>401.38000000000011</v>
      </c>
      <c r="M396" t="s">
        <v>21</v>
      </c>
    </row>
    <row r="397" spans="1:13" x14ac:dyDescent="0.3">
      <c r="A397" t="s">
        <v>424</v>
      </c>
      <c r="B397" s="1">
        <v>45307</v>
      </c>
      <c r="C397" s="1">
        <v>45315</v>
      </c>
      <c r="D397" s="6">
        <f t="shared" si="12"/>
        <v>8</v>
      </c>
      <c r="E397" t="s">
        <v>18</v>
      </c>
      <c r="F397" t="s">
        <v>24</v>
      </c>
      <c r="G397" t="s">
        <v>19</v>
      </c>
      <c r="H397" t="s">
        <v>15</v>
      </c>
      <c r="I397">
        <v>9</v>
      </c>
      <c r="J397" s="2">
        <v>474.6</v>
      </c>
      <c r="K397" s="2">
        <v>366.58</v>
      </c>
      <c r="L397" s="2">
        <f t="shared" si="13"/>
        <v>108.02000000000004</v>
      </c>
      <c r="M397" t="s">
        <v>21</v>
      </c>
    </row>
    <row r="398" spans="1:13" x14ac:dyDescent="0.3">
      <c r="A398" t="s">
        <v>425</v>
      </c>
      <c r="B398" s="1">
        <v>45363</v>
      </c>
      <c r="C398" s="1">
        <v>45369</v>
      </c>
      <c r="D398" s="6">
        <f t="shared" si="12"/>
        <v>6</v>
      </c>
      <c r="E398" t="s">
        <v>23</v>
      </c>
      <c r="F398" t="s">
        <v>13</v>
      </c>
      <c r="G398" t="s">
        <v>14</v>
      </c>
      <c r="H398" t="s">
        <v>20</v>
      </c>
      <c r="I398">
        <v>6</v>
      </c>
      <c r="J398" s="2">
        <v>859.94</v>
      </c>
      <c r="K398" s="2">
        <v>519.29</v>
      </c>
      <c r="L398" s="2">
        <f t="shared" si="13"/>
        <v>340.65000000000009</v>
      </c>
      <c r="M398" t="s">
        <v>29</v>
      </c>
    </row>
    <row r="399" spans="1:13" x14ac:dyDescent="0.3">
      <c r="A399" t="s">
        <v>426</v>
      </c>
      <c r="B399" s="1">
        <v>45591</v>
      </c>
      <c r="C399" s="1">
        <v>45599</v>
      </c>
      <c r="D399" s="6">
        <f t="shared" si="12"/>
        <v>8</v>
      </c>
      <c r="E399" t="s">
        <v>23</v>
      </c>
      <c r="F399" t="s">
        <v>33</v>
      </c>
      <c r="G399" t="s">
        <v>19</v>
      </c>
      <c r="H399" t="s">
        <v>20</v>
      </c>
      <c r="I399">
        <v>8</v>
      </c>
      <c r="J399" s="2">
        <v>481.19</v>
      </c>
      <c r="K399" s="2">
        <v>390.49</v>
      </c>
      <c r="L399" s="2">
        <f t="shared" si="13"/>
        <v>90.699999999999989</v>
      </c>
      <c r="M399" t="s">
        <v>21</v>
      </c>
    </row>
    <row r="400" spans="1:13" x14ac:dyDescent="0.3">
      <c r="A400" t="s">
        <v>427</v>
      </c>
      <c r="B400" s="1">
        <v>45608</v>
      </c>
      <c r="C400" s="1">
        <v>45615</v>
      </c>
      <c r="D400" s="6">
        <f t="shared" si="12"/>
        <v>7</v>
      </c>
      <c r="E400" t="s">
        <v>23</v>
      </c>
      <c r="F400" t="s">
        <v>33</v>
      </c>
      <c r="G400" t="s">
        <v>19</v>
      </c>
      <c r="H400" t="s">
        <v>20</v>
      </c>
      <c r="I400">
        <v>9</v>
      </c>
      <c r="J400" s="2">
        <v>555.80999999999995</v>
      </c>
      <c r="K400" s="2">
        <v>440.43</v>
      </c>
      <c r="L400" s="2">
        <f t="shared" si="13"/>
        <v>115.37999999999994</v>
      </c>
      <c r="M400" t="s">
        <v>21</v>
      </c>
    </row>
    <row r="401" spans="1:13" x14ac:dyDescent="0.3">
      <c r="A401" t="s">
        <v>428</v>
      </c>
      <c r="B401" s="1">
        <v>45410</v>
      </c>
      <c r="C401" s="1">
        <v>45415</v>
      </c>
      <c r="D401" s="6">
        <f t="shared" si="12"/>
        <v>5</v>
      </c>
      <c r="E401" t="s">
        <v>23</v>
      </c>
      <c r="F401" t="s">
        <v>33</v>
      </c>
      <c r="G401" t="s">
        <v>14</v>
      </c>
      <c r="H401" t="s">
        <v>15</v>
      </c>
      <c r="I401">
        <v>1</v>
      </c>
      <c r="J401" s="2">
        <v>780.71</v>
      </c>
      <c r="K401" s="2">
        <v>516.97</v>
      </c>
      <c r="L401" s="2">
        <f t="shared" si="13"/>
        <v>263.74</v>
      </c>
      <c r="M401" t="s">
        <v>16</v>
      </c>
    </row>
    <row r="402" spans="1:13" x14ac:dyDescent="0.3">
      <c r="A402" t="s">
        <v>429</v>
      </c>
      <c r="B402" s="1">
        <v>45551</v>
      </c>
      <c r="C402" s="1">
        <v>45556</v>
      </c>
      <c r="D402" s="6">
        <f t="shared" si="12"/>
        <v>5</v>
      </c>
      <c r="E402" t="s">
        <v>18</v>
      </c>
      <c r="F402" t="s">
        <v>13</v>
      </c>
      <c r="G402" t="s">
        <v>14</v>
      </c>
      <c r="H402" t="s">
        <v>15</v>
      </c>
      <c r="I402">
        <v>8</v>
      </c>
      <c r="J402" s="2">
        <v>1856.73</v>
      </c>
      <c r="K402" s="2">
        <v>1404.15</v>
      </c>
      <c r="L402" s="2">
        <f t="shared" si="13"/>
        <v>452.57999999999993</v>
      </c>
      <c r="M402" t="s">
        <v>21</v>
      </c>
    </row>
    <row r="403" spans="1:13" x14ac:dyDescent="0.3">
      <c r="A403" t="s">
        <v>430</v>
      </c>
      <c r="B403" s="1">
        <v>45602</v>
      </c>
      <c r="C403" s="1">
        <v>45611</v>
      </c>
      <c r="D403" s="6">
        <f t="shared" si="12"/>
        <v>9</v>
      </c>
      <c r="E403" t="s">
        <v>12</v>
      </c>
      <c r="F403" t="s">
        <v>27</v>
      </c>
      <c r="G403" t="s">
        <v>14</v>
      </c>
      <c r="H403" t="s">
        <v>20</v>
      </c>
      <c r="I403">
        <v>5</v>
      </c>
      <c r="J403" s="2">
        <v>104.88</v>
      </c>
      <c r="K403" s="2">
        <v>70.239999999999995</v>
      </c>
      <c r="L403" s="2">
        <f t="shared" si="13"/>
        <v>34.64</v>
      </c>
      <c r="M403" t="s">
        <v>21</v>
      </c>
    </row>
    <row r="404" spans="1:13" x14ac:dyDescent="0.3">
      <c r="A404" t="s">
        <v>431</v>
      </c>
      <c r="B404" s="1">
        <v>45521</v>
      </c>
      <c r="C404" s="1">
        <v>45527</v>
      </c>
      <c r="D404" s="6">
        <f t="shared" si="12"/>
        <v>6</v>
      </c>
      <c r="E404" t="s">
        <v>12</v>
      </c>
      <c r="F404" t="s">
        <v>31</v>
      </c>
      <c r="G404" t="s">
        <v>19</v>
      </c>
      <c r="H404" t="s">
        <v>25</v>
      </c>
      <c r="I404">
        <v>4</v>
      </c>
      <c r="J404" s="2">
        <v>931.73</v>
      </c>
      <c r="K404" s="2">
        <v>780.57</v>
      </c>
      <c r="L404" s="2">
        <f t="shared" si="13"/>
        <v>151.15999999999997</v>
      </c>
      <c r="M404" t="s">
        <v>16</v>
      </c>
    </row>
    <row r="405" spans="1:13" x14ac:dyDescent="0.3">
      <c r="A405" t="s">
        <v>432</v>
      </c>
      <c r="B405" s="1">
        <v>45563</v>
      </c>
      <c r="C405" s="1">
        <v>45570</v>
      </c>
      <c r="D405" s="6">
        <f t="shared" si="12"/>
        <v>7</v>
      </c>
      <c r="E405" t="s">
        <v>42</v>
      </c>
      <c r="F405" t="s">
        <v>33</v>
      </c>
      <c r="G405" t="s">
        <v>14</v>
      </c>
      <c r="H405" t="s">
        <v>15</v>
      </c>
      <c r="I405">
        <v>10</v>
      </c>
      <c r="J405" s="2">
        <v>661.16</v>
      </c>
      <c r="K405" s="2">
        <v>405.34</v>
      </c>
      <c r="L405" s="2">
        <f t="shared" si="13"/>
        <v>255.82</v>
      </c>
      <c r="M405" t="s">
        <v>16</v>
      </c>
    </row>
    <row r="406" spans="1:13" x14ac:dyDescent="0.3">
      <c r="A406" t="s">
        <v>433</v>
      </c>
      <c r="B406" s="1">
        <v>45311</v>
      </c>
      <c r="C406" s="1">
        <v>45313</v>
      </c>
      <c r="D406" s="6">
        <f t="shared" si="12"/>
        <v>2</v>
      </c>
      <c r="E406" t="s">
        <v>23</v>
      </c>
      <c r="F406" t="s">
        <v>27</v>
      </c>
      <c r="G406" t="s">
        <v>19</v>
      </c>
      <c r="H406" t="s">
        <v>25</v>
      </c>
      <c r="I406">
        <v>6</v>
      </c>
      <c r="J406" s="2">
        <v>1001.89</v>
      </c>
      <c r="K406" s="2">
        <v>745.05</v>
      </c>
      <c r="L406" s="2">
        <f t="shared" si="13"/>
        <v>256.84000000000003</v>
      </c>
      <c r="M406" t="s">
        <v>21</v>
      </c>
    </row>
    <row r="407" spans="1:13" x14ac:dyDescent="0.3">
      <c r="A407" t="s">
        <v>434</v>
      </c>
      <c r="B407" s="1">
        <v>45338</v>
      </c>
      <c r="C407" s="1">
        <v>45344</v>
      </c>
      <c r="D407" s="6">
        <f t="shared" si="12"/>
        <v>6</v>
      </c>
      <c r="E407" t="s">
        <v>18</v>
      </c>
      <c r="F407" t="s">
        <v>31</v>
      </c>
      <c r="G407" t="s">
        <v>19</v>
      </c>
      <c r="H407" t="s">
        <v>25</v>
      </c>
      <c r="I407">
        <v>2</v>
      </c>
      <c r="J407" s="2">
        <v>1062.55</v>
      </c>
      <c r="K407" s="2">
        <v>685.1</v>
      </c>
      <c r="L407" s="2">
        <f t="shared" si="13"/>
        <v>377.44999999999993</v>
      </c>
      <c r="M407" t="s">
        <v>29</v>
      </c>
    </row>
    <row r="408" spans="1:13" x14ac:dyDescent="0.3">
      <c r="A408" t="s">
        <v>435</v>
      </c>
      <c r="B408" s="1">
        <v>45322</v>
      </c>
      <c r="C408" s="1">
        <v>45325</v>
      </c>
      <c r="D408" s="6">
        <f t="shared" si="12"/>
        <v>3</v>
      </c>
      <c r="E408" t="s">
        <v>12</v>
      </c>
      <c r="F408" t="s">
        <v>31</v>
      </c>
      <c r="G408" t="s">
        <v>19</v>
      </c>
      <c r="H408" t="s">
        <v>15</v>
      </c>
      <c r="I408">
        <v>3</v>
      </c>
      <c r="J408" s="2">
        <v>590.78</v>
      </c>
      <c r="K408" s="2">
        <v>398.13</v>
      </c>
      <c r="L408" s="2">
        <f t="shared" si="13"/>
        <v>192.64999999999998</v>
      </c>
      <c r="M408" t="s">
        <v>29</v>
      </c>
    </row>
    <row r="409" spans="1:13" x14ac:dyDescent="0.3">
      <c r="A409" t="s">
        <v>436</v>
      </c>
      <c r="B409" s="1">
        <v>45553</v>
      </c>
      <c r="C409" s="1">
        <v>45556</v>
      </c>
      <c r="D409" s="6">
        <f t="shared" si="12"/>
        <v>3</v>
      </c>
      <c r="E409" t="s">
        <v>12</v>
      </c>
      <c r="F409" t="s">
        <v>27</v>
      </c>
      <c r="G409" t="s">
        <v>19</v>
      </c>
      <c r="H409" t="s">
        <v>15</v>
      </c>
      <c r="I409">
        <v>3</v>
      </c>
      <c r="J409" s="2">
        <v>441.47</v>
      </c>
      <c r="K409" s="2">
        <v>291.61</v>
      </c>
      <c r="L409" s="2">
        <f t="shared" si="13"/>
        <v>149.86000000000001</v>
      </c>
      <c r="M409" t="s">
        <v>21</v>
      </c>
    </row>
    <row r="410" spans="1:13" x14ac:dyDescent="0.3">
      <c r="A410" t="s">
        <v>437</v>
      </c>
      <c r="B410" s="1">
        <v>45304</v>
      </c>
      <c r="C410" s="1">
        <v>45309</v>
      </c>
      <c r="D410" s="6">
        <f t="shared" si="12"/>
        <v>5</v>
      </c>
      <c r="E410" t="s">
        <v>12</v>
      </c>
      <c r="F410" t="s">
        <v>33</v>
      </c>
      <c r="G410" t="s">
        <v>14</v>
      </c>
      <c r="H410" t="s">
        <v>25</v>
      </c>
      <c r="I410">
        <v>3</v>
      </c>
      <c r="J410" s="2">
        <v>766.36</v>
      </c>
      <c r="K410" s="2">
        <v>584.57000000000005</v>
      </c>
      <c r="L410" s="2">
        <f t="shared" si="13"/>
        <v>181.78999999999996</v>
      </c>
      <c r="M410" t="s">
        <v>21</v>
      </c>
    </row>
    <row r="411" spans="1:13" x14ac:dyDescent="0.3">
      <c r="A411" t="s">
        <v>438</v>
      </c>
      <c r="B411" s="1">
        <v>45536</v>
      </c>
      <c r="C411" s="1">
        <v>45544</v>
      </c>
      <c r="D411" s="6">
        <f t="shared" si="12"/>
        <v>8</v>
      </c>
      <c r="E411" t="s">
        <v>18</v>
      </c>
      <c r="F411" t="s">
        <v>27</v>
      </c>
      <c r="G411" t="s">
        <v>19</v>
      </c>
      <c r="H411" t="s">
        <v>20</v>
      </c>
      <c r="I411">
        <v>7</v>
      </c>
      <c r="J411" s="2">
        <v>1032.68</v>
      </c>
      <c r="K411" s="2">
        <v>830.91</v>
      </c>
      <c r="L411" s="2">
        <f t="shared" si="13"/>
        <v>201.7700000000001</v>
      </c>
      <c r="M411" t="s">
        <v>29</v>
      </c>
    </row>
    <row r="412" spans="1:13" x14ac:dyDescent="0.3">
      <c r="A412" t="s">
        <v>439</v>
      </c>
      <c r="B412" s="1">
        <v>45575</v>
      </c>
      <c r="C412" s="1">
        <v>45581</v>
      </c>
      <c r="D412" s="6">
        <f t="shared" si="12"/>
        <v>6</v>
      </c>
      <c r="E412" t="s">
        <v>12</v>
      </c>
      <c r="F412" t="s">
        <v>31</v>
      </c>
      <c r="G412" t="s">
        <v>14</v>
      </c>
      <c r="H412" t="s">
        <v>15</v>
      </c>
      <c r="I412">
        <v>7</v>
      </c>
      <c r="J412" s="2">
        <v>100.63</v>
      </c>
      <c r="K412" s="2">
        <v>79.86</v>
      </c>
      <c r="L412" s="2">
        <f t="shared" si="13"/>
        <v>20.769999999999996</v>
      </c>
      <c r="M412" t="s">
        <v>21</v>
      </c>
    </row>
    <row r="413" spans="1:13" x14ac:dyDescent="0.3">
      <c r="A413" t="s">
        <v>440</v>
      </c>
      <c r="B413" s="1">
        <v>45478</v>
      </c>
      <c r="C413" s="1">
        <v>45488</v>
      </c>
      <c r="D413" s="6">
        <f t="shared" si="12"/>
        <v>10</v>
      </c>
      <c r="E413" t="s">
        <v>23</v>
      </c>
      <c r="F413" t="s">
        <v>24</v>
      </c>
      <c r="G413" t="s">
        <v>14</v>
      </c>
      <c r="H413" t="s">
        <v>40</v>
      </c>
      <c r="I413">
        <v>7</v>
      </c>
      <c r="J413" s="2">
        <v>601.28</v>
      </c>
      <c r="K413" s="2">
        <v>418.96</v>
      </c>
      <c r="L413" s="2">
        <f t="shared" si="13"/>
        <v>182.32</v>
      </c>
      <c r="M413" t="s">
        <v>29</v>
      </c>
    </row>
    <row r="414" spans="1:13" x14ac:dyDescent="0.3">
      <c r="A414" t="s">
        <v>441</v>
      </c>
      <c r="B414" s="1">
        <v>45603</v>
      </c>
      <c r="C414" s="1">
        <v>45605</v>
      </c>
      <c r="D414" s="6">
        <f t="shared" si="12"/>
        <v>2</v>
      </c>
      <c r="E414" t="s">
        <v>18</v>
      </c>
      <c r="F414" t="s">
        <v>24</v>
      </c>
      <c r="G414" t="s">
        <v>19</v>
      </c>
      <c r="H414" t="s">
        <v>25</v>
      </c>
      <c r="I414">
        <v>6</v>
      </c>
      <c r="J414" s="2">
        <v>1425.74</v>
      </c>
      <c r="K414" s="2">
        <v>964.12</v>
      </c>
      <c r="L414" s="2">
        <f t="shared" si="13"/>
        <v>461.62</v>
      </c>
      <c r="M414" t="s">
        <v>21</v>
      </c>
    </row>
    <row r="415" spans="1:13" x14ac:dyDescent="0.3">
      <c r="A415" t="s">
        <v>442</v>
      </c>
      <c r="B415" s="1">
        <v>45303</v>
      </c>
      <c r="C415" s="1">
        <v>45311</v>
      </c>
      <c r="D415" s="6">
        <f t="shared" si="12"/>
        <v>8</v>
      </c>
      <c r="E415" t="s">
        <v>42</v>
      </c>
      <c r="F415" t="s">
        <v>31</v>
      </c>
      <c r="G415" t="s">
        <v>19</v>
      </c>
      <c r="H415" t="s">
        <v>20</v>
      </c>
      <c r="I415">
        <v>6</v>
      </c>
      <c r="J415" s="2">
        <v>1813.32</v>
      </c>
      <c r="K415" s="2">
        <v>1232.8499999999999</v>
      </c>
      <c r="L415" s="2">
        <f t="shared" si="13"/>
        <v>580.47</v>
      </c>
      <c r="M415" t="s">
        <v>21</v>
      </c>
    </row>
    <row r="416" spans="1:13" x14ac:dyDescent="0.3">
      <c r="A416" t="s">
        <v>443</v>
      </c>
      <c r="B416" s="1">
        <v>45320</v>
      </c>
      <c r="C416" s="1">
        <v>45324</v>
      </c>
      <c r="D416" s="6">
        <f t="shared" si="12"/>
        <v>4</v>
      </c>
      <c r="E416" t="s">
        <v>18</v>
      </c>
      <c r="F416" t="s">
        <v>13</v>
      </c>
      <c r="G416" t="s">
        <v>19</v>
      </c>
      <c r="H416" t="s">
        <v>15</v>
      </c>
      <c r="I416">
        <v>4</v>
      </c>
      <c r="J416" s="2">
        <v>350.14</v>
      </c>
      <c r="K416" s="2">
        <v>280.2</v>
      </c>
      <c r="L416" s="2">
        <f t="shared" si="13"/>
        <v>69.94</v>
      </c>
      <c r="M416" t="s">
        <v>16</v>
      </c>
    </row>
    <row r="417" spans="1:13" x14ac:dyDescent="0.3">
      <c r="A417" t="s">
        <v>444</v>
      </c>
      <c r="B417" s="1">
        <v>45386</v>
      </c>
      <c r="C417" s="1">
        <v>45389</v>
      </c>
      <c r="D417" s="6">
        <f t="shared" si="12"/>
        <v>3</v>
      </c>
      <c r="E417" t="s">
        <v>18</v>
      </c>
      <c r="F417" t="s">
        <v>27</v>
      </c>
      <c r="G417" t="s">
        <v>14</v>
      </c>
      <c r="H417" t="s">
        <v>20</v>
      </c>
      <c r="I417">
        <v>7</v>
      </c>
      <c r="J417" s="2">
        <v>1917.55</v>
      </c>
      <c r="K417" s="2">
        <v>1468.87</v>
      </c>
      <c r="L417" s="2">
        <f t="shared" si="13"/>
        <v>448.68000000000006</v>
      </c>
      <c r="M417" t="s">
        <v>16</v>
      </c>
    </row>
    <row r="418" spans="1:13" x14ac:dyDescent="0.3">
      <c r="A418" t="s">
        <v>445</v>
      </c>
      <c r="B418" s="1">
        <v>45619</v>
      </c>
      <c r="C418" s="1">
        <v>45626</v>
      </c>
      <c r="D418" s="6">
        <f t="shared" si="12"/>
        <v>7</v>
      </c>
      <c r="E418" t="s">
        <v>18</v>
      </c>
      <c r="F418" t="s">
        <v>27</v>
      </c>
      <c r="G418" t="s">
        <v>14</v>
      </c>
      <c r="H418" t="s">
        <v>20</v>
      </c>
      <c r="I418">
        <v>5</v>
      </c>
      <c r="J418" s="2">
        <v>1568.42</v>
      </c>
      <c r="K418" s="2">
        <v>1153.96</v>
      </c>
      <c r="L418" s="2">
        <f t="shared" si="13"/>
        <v>414.46000000000004</v>
      </c>
      <c r="M418" t="s">
        <v>29</v>
      </c>
    </row>
    <row r="419" spans="1:13" x14ac:dyDescent="0.3">
      <c r="A419" t="s">
        <v>446</v>
      </c>
      <c r="B419" s="1">
        <v>45430</v>
      </c>
      <c r="C419" s="1">
        <v>45439</v>
      </c>
      <c r="D419" s="6">
        <f t="shared" si="12"/>
        <v>9</v>
      </c>
      <c r="E419" t="s">
        <v>18</v>
      </c>
      <c r="F419" t="s">
        <v>31</v>
      </c>
      <c r="G419" t="s">
        <v>14</v>
      </c>
      <c r="H419" t="s">
        <v>15</v>
      </c>
      <c r="I419">
        <v>4</v>
      </c>
      <c r="J419" s="2">
        <v>1826.95</v>
      </c>
      <c r="K419" s="2">
        <v>1098.58</v>
      </c>
      <c r="L419" s="2">
        <f t="shared" si="13"/>
        <v>728.37000000000012</v>
      </c>
      <c r="M419" t="s">
        <v>21</v>
      </c>
    </row>
    <row r="420" spans="1:13" x14ac:dyDescent="0.3">
      <c r="A420" t="s">
        <v>447</v>
      </c>
      <c r="B420" s="1">
        <v>45435</v>
      </c>
      <c r="C420" s="1">
        <v>45442</v>
      </c>
      <c r="D420" s="6">
        <f t="shared" si="12"/>
        <v>7</v>
      </c>
      <c r="E420" t="s">
        <v>12</v>
      </c>
      <c r="F420" t="s">
        <v>27</v>
      </c>
      <c r="G420" t="s">
        <v>19</v>
      </c>
      <c r="H420" t="s">
        <v>25</v>
      </c>
      <c r="I420">
        <v>8</v>
      </c>
      <c r="J420" s="2">
        <v>312.58999999999997</v>
      </c>
      <c r="K420" s="2">
        <v>233.69</v>
      </c>
      <c r="L420" s="2">
        <f t="shared" si="13"/>
        <v>78.899999999999977</v>
      </c>
      <c r="M420" t="s">
        <v>21</v>
      </c>
    </row>
    <row r="421" spans="1:13" x14ac:dyDescent="0.3">
      <c r="A421" t="s">
        <v>448</v>
      </c>
      <c r="B421" s="1">
        <v>45595</v>
      </c>
      <c r="C421" s="1">
        <v>45602</v>
      </c>
      <c r="D421" s="6">
        <f t="shared" si="12"/>
        <v>7</v>
      </c>
      <c r="E421" t="s">
        <v>42</v>
      </c>
      <c r="F421" t="s">
        <v>13</v>
      </c>
      <c r="G421" t="s">
        <v>14</v>
      </c>
      <c r="H421" t="s">
        <v>15</v>
      </c>
      <c r="I421">
        <v>5</v>
      </c>
      <c r="J421" s="2">
        <v>1692.66</v>
      </c>
      <c r="K421" s="2">
        <v>1242</v>
      </c>
      <c r="L421" s="2">
        <f t="shared" si="13"/>
        <v>450.66000000000008</v>
      </c>
      <c r="M421" t="s">
        <v>16</v>
      </c>
    </row>
    <row r="422" spans="1:13" x14ac:dyDescent="0.3">
      <c r="A422" t="s">
        <v>449</v>
      </c>
      <c r="B422" s="1">
        <v>45459</v>
      </c>
      <c r="C422" s="1">
        <v>45463</v>
      </c>
      <c r="D422" s="6">
        <f t="shared" si="12"/>
        <v>4</v>
      </c>
      <c r="E422" t="s">
        <v>23</v>
      </c>
      <c r="F422" t="s">
        <v>33</v>
      </c>
      <c r="G422" t="s">
        <v>19</v>
      </c>
      <c r="H422" t="s">
        <v>25</v>
      </c>
      <c r="I422">
        <v>3</v>
      </c>
      <c r="J422" s="2">
        <v>399.72</v>
      </c>
      <c r="K422" s="2">
        <v>328.49</v>
      </c>
      <c r="L422" s="2">
        <f t="shared" si="13"/>
        <v>71.230000000000018</v>
      </c>
      <c r="M422" t="s">
        <v>21</v>
      </c>
    </row>
    <row r="423" spans="1:13" x14ac:dyDescent="0.3">
      <c r="A423" t="s">
        <v>450</v>
      </c>
      <c r="B423" s="1">
        <v>45465</v>
      </c>
      <c r="C423" s="1">
        <v>45467</v>
      </c>
      <c r="D423" s="6">
        <f t="shared" si="12"/>
        <v>2</v>
      </c>
      <c r="E423" t="s">
        <v>42</v>
      </c>
      <c r="F423" t="s">
        <v>31</v>
      </c>
      <c r="G423" t="s">
        <v>19</v>
      </c>
      <c r="H423" t="s">
        <v>20</v>
      </c>
      <c r="I423">
        <v>7</v>
      </c>
      <c r="J423" s="2">
        <v>155.66</v>
      </c>
      <c r="K423" s="2">
        <v>98.34</v>
      </c>
      <c r="L423" s="2">
        <f t="shared" si="13"/>
        <v>57.319999999999993</v>
      </c>
      <c r="M423" t="s">
        <v>16</v>
      </c>
    </row>
    <row r="424" spans="1:13" x14ac:dyDescent="0.3">
      <c r="A424" t="s">
        <v>451</v>
      </c>
      <c r="B424" s="1">
        <v>45418</v>
      </c>
      <c r="C424" s="1">
        <v>45427</v>
      </c>
      <c r="D424" s="6">
        <f t="shared" si="12"/>
        <v>9</v>
      </c>
      <c r="E424" t="s">
        <v>23</v>
      </c>
      <c r="F424" t="s">
        <v>24</v>
      </c>
      <c r="G424" t="s">
        <v>14</v>
      </c>
      <c r="H424" t="s">
        <v>25</v>
      </c>
      <c r="I424">
        <v>7</v>
      </c>
      <c r="J424" s="2">
        <v>1680.38</v>
      </c>
      <c r="K424" s="2">
        <v>1217.82</v>
      </c>
      <c r="L424" s="2">
        <f t="shared" si="13"/>
        <v>462.56000000000017</v>
      </c>
      <c r="M424" t="s">
        <v>16</v>
      </c>
    </row>
    <row r="425" spans="1:13" x14ac:dyDescent="0.3">
      <c r="A425" t="s">
        <v>452</v>
      </c>
      <c r="B425" s="1">
        <v>45487</v>
      </c>
      <c r="C425" s="1">
        <v>45495</v>
      </c>
      <c r="D425" s="6">
        <f t="shared" si="12"/>
        <v>8</v>
      </c>
      <c r="E425" t="s">
        <v>18</v>
      </c>
      <c r="F425" t="s">
        <v>24</v>
      </c>
      <c r="G425" t="s">
        <v>14</v>
      </c>
      <c r="H425" t="s">
        <v>25</v>
      </c>
      <c r="I425">
        <v>2</v>
      </c>
      <c r="J425" s="2">
        <v>983.92</v>
      </c>
      <c r="K425" s="2">
        <v>620.35</v>
      </c>
      <c r="L425" s="2">
        <f t="shared" si="13"/>
        <v>363.56999999999994</v>
      </c>
      <c r="M425" t="s">
        <v>21</v>
      </c>
    </row>
    <row r="426" spans="1:13" x14ac:dyDescent="0.3">
      <c r="A426" t="s">
        <v>453</v>
      </c>
      <c r="B426" s="1">
        <v>45629</v>
      </c>
      <c r="C426" s="1">
        <v>45638</v>
      </c>
      <c r="D426" s="6">
        <f t="shared" si="12"/>
        <v>9</v>
      </c>
      <c r="E426" t="s">
        <v>42</v>
      </c>
      <c r="F426" t="s">
        <v>33</v>
      </c>
      <c r="G426" t="s">
        <v>14</v>
      </c>
      <c r="H426" t="s">
        <v>20</v>
      </c>
      <c r="I426">
        <v>6</v>
      </c>
      <c r="J426" s="2">
        <v>1565.04</v>
      </c>
      <c r="K426" s="2">
        <v>1072.9000000000001</v>
      </c>
      <c r="L426" s="2">
        <f t="shared" si="13"/>
        <v>492.13999999999987</v>
      </c>
      <c r="M426" t="s">
        <v>16</v>
      </c>
    </row>
    <row r="427" spans="1:13" x14ac:dyDescent="0.3">
      <c r="A427" t="s">
        <v>454</v>
      </c>
      <c r="B427" s="1">
        <v>45551</v>
      </c>
      <c r="C427" s="1">
        <v>45555</v>
      </c>
      <c r="D427" s="6">
        <f t="shared" si="12"/>
        <v>4</v>
      </c>
      <c r="E427" t="s">
        <v>23</v>
      </c>
      <c r="F427" t="s">
        <v>27</v>
      </c>
      <c r="G427" t="s">
        <v>14</v>
      </c>
      <c r="H427" t="s">
        <v>15</v>
      </c>
      <c r="I427">
        <v>9</v>
      </c>
      <c r="J427" s="2">
        <v>652.32000000000005</v>
      </c>
      <c r="K427" s="2">
        <v>499.64</v>
      </c>
      <c r="L427" s="2">
        <f t="shared" si="13"/>
        <v>152.68000000000006</v>
      </c>
      <c r="M427" t="s">
        <v>29</v>
      </c>
    </row>
    <row r="428" spans="1:13" x14ac:dyDescent="0.3">
      <c r="A428" t="s">
        <v>455</v>
      </c>
      <c r="B428" s="1">
        <v>45490</v>
      </c>
      <c r="C428" s="1">
        <v>45496</v>
      </c>
      <c r="D428" s="6">
        <f t="shared" si="12"/>
        <v>6</v>
      </c>
      <c r="E428" t="s">
        <v>18</v>
      </c>
      <c r="F428" t="s">
        <v>31</v>
      </c>
      <c r="G428" t="s">
        <v>19</v>
      </c>
      <c r="H428" t="s">
        <v>15</v>
      </c>
      <c r="I428">
        <v>2</v>
      </c>
      <c r="J428" s="2">
        <v>696.09</v>
      </c>
      <c r="K428" s="2">
        <v>434.96</v>
      </c>
      <c r="L428" s="2">
        <f t="shared" si="13"/>
        <v>261.13000000000005</v>
      </c>
      <c r="M428" t="s">
        <v>21</v>
      </c>
    </row>
    <row r="429" spans="1:13" x14ac:dyDescent="0.3">
      <c r="A429" t="s">
        <v>456</v>
      </c>
      <c r="B429" s="1">
        <v>45347</v>
      </c>
      <c r="C429" s="1">
        <v>45356</v>
      </c>
      <c r="D429" s="6">
        <f t="shared" si="12"/>
        <v>9</v>
      </c>
      <c r="E429" t="s">
        <v>12</v>
      </c>
      <c r="F429" t="s">
        <v>24</v>
      </c>
      <c r="G429" t="s">
        <v>19</v>
      </c>
      <c r="H429" t="s">
        <v>40</v>
      </c>
      <c r="I429">
        <v>10</v>
      </c>
      <c r="J429" s="2">
        <v>1776.18</v>
      </c>
      <c r="K429" s="2">
        <v>1086.21</v>
      </c>
      <c r="L429" s="2">
        <f t="shared" si="13"/>
        <v>689.97</v>
      </c>
      <c r="M429" t="s">
        <v>21</v>
      </c>
    </row>
    <row r="430" spans="1:13" x14ac:dyDescent="0.3">
      <c r="A430" t="s">
        <v>457</v>
      </c>
      <c r="B430" s="1">
        <v>45627</v>
      </c>
      <c r="C430" s="1">
        <v>45630</v>
      </c>
      <c r="D430" s="6">
        <f t="shared" si="12"/>
        <v>3</v>
      </c>
      <c r="E430" t="s">
        <v>18</v>
      </c>
      <c r="F430" t="s">
        <v>31</v>
      </c>
      <c r="G430" t="s">
        <v>19</v>
      </c>
      <c r="H430" t="s">
        <v>20</v>
      </c>
      <c r="I430">
        <v>3</v>
      </c>
      <c r="J430" s="2">
        <v>1011.2</v>
      </c>
      <c r="K430" s="2">
        <v>797.44</v>
      </c>
      <c r="L430" s="2">
        <f t="shared" si="13"/>
        <v>213.76</v>
      </c>
      <c r="M430" t="s">
        <v>21</v>
      </c>
    </row>
    <row r="431" spans="1:13" x14ac:dyDescent="0.3">
      <c r="A431" t="s">
        <v>458</v>
      </c>
      <c r="B431" s="1">
        <v>45481</v>
      </c>
      <c r="C431" s="1">
        <v>45488</v>
      </c>
      <c r="D431" s="6">
        <f t="shared" si="12"/>
        <v>7</v>
      </c>
      <c r="E431" t="s">
        <v>12</v>
      </c>
      <c r="F431" t="s">
        <v>13</v>
      </c>
      <c r="G431" t="s">
        <v>14</v>
      </c>
      <c r="H431" t="s">
        <v>25</v>
      </c>
      <c r="I431">
        <v>9</v>
      </c>
      <c r="J431" s="2">
        <v>567.47</v>
      </c>
      <c r="K431" s="2">
        <v>480.88</v>
      </c>
      <c r="L431" s="2">
        <f t="shared" si="13"/>
        <v>86.590000000000032</v>
      </c>
      <c r="M431" t="s">
        <v>21</v>
      </c>
    </row>
    <row r="432" spans="1:13" x14ac:dyDescent="0.3">
      <c r="A432" t="s">
        <v>459</v>
      </c>
      <c r="B432" s="1">
        <v>45581</v>
      </c>
      <c r="C432" s="1">
        <v>45589</v>
      </c>
      <c r="D432" s="6">
        <f t="shared" si="12"/>
        <v>8</v>
      </c>
      <c r="E432" t="s">
        <v>42</v>
      </c>
      <c r="F432" t="s">
        <v>33</v>
      </c>
      <c r="G432" t="s">
        <v>14</v>
      </c>
      <c r="H432" t="s">
        <v>25</v>
      </c>
      <c r="I432">
        <v>4</v>
      </c>
      <c r="J432" s="2">
        <v>1506.86</v>
      </c>
      <c r="K432" s="2">
        <v>1150.76</v>
      </c>
      <c r="L432" s="2">
        <f t="shared" si="13"/>
        <v>356.09999999999991</v>
      </c>
      <c r="M432" t="s">
        <v>29</v>
      </c>
    </row>
    <row r="433" spans="1:13" x14ac:dyDescent="0.3">
      <c r="A433" t="s">
        <v>460</v>
      </c>
      <c r="B433" s="1">
        <v>45564</v>
      </c>
      <c r="C433" s="1">
        <v>45569</v>
      </c>
      <c r="D433" s="6">
        <f t="shared" si="12"/>
        <v>5</v>
      </c>
      <c r="E433" t="s">
        <v>23</v>
      </c>
      <c r="F433" t="s">
        <v>27</v>
      </c>
      <c r="G433" t="s">
        <v>14</v>
      </c>
      <c r="H433" t="s">
        <v>20</v>
      </c>
      <c r="I433">
        <v>8</v>
      </c>
      <c r="J433" s="2">
        <v>1985.62</v>
      </c>
      <c r="K433" s="2">
        <v>1266.77</v>
      </c>
      <c r="L433" s="2">
        <f t="shared" si="13"/>
        <v>718.84999999999991</v>
      </c>
      <c r="M433" t="s">
        <v>21</v>
      </c>
    </row>
    <row r="434" spans="1:13" x14ac:dyDescent="0.3">
      <c r="A434" t="s">
        <v>461</v>
      </c>
      <c r="B434" s="1">
        <v>45642</v>
      </c>
      <c r="C434" s="1">
        <v>45647</v>
      </c>
      <c r="D434" s="6">
        <f t="shared" si="12"/>
        <v>5</v>
      </c>
      <c r="E434" t="s">
        <v>12</v>
      </c>
      <c r="F434" t="s">
        <v>24</v>
      </c>
      <c r="G434" t="s">
        <v>19</v>
      </c>
      <c r="H434" t="s">
        <v>20</v>
      </c>
      <c r="I434">
        <v>9</v>
      </c>
      <c r="J434" s="2">
        <v>581.61</v>
      </c>
      <c r="K434" s="2">
        <v>389.18</v>
      </c>
      <c r="L434" s="2">
        <f t="shared" si="13"/>
        <v>192.43</v>
      </c>
      <c r="M434" t="s">
        <v>21</v>
      </c>
    </row>
    <row r="435" spans="1:13" x14ac:dyDescent="0.3">
      <c r="A435" t="s">
        <v>462</v>
      </c>
      <c r="B435" s="1">
        <v>45651</v>
      </c>
      <c r="C435" s="1">
        <v>45655</v>
      </c>
      <c r="D435" s="6">
        <f t="shared" si="12"/>
        <v>4</v>
      </c>
      <c r="E435" t="s">
        <v>12</v>
      </c>
      <c r="F435" t="s">
        <v>13</v>
      </c>
      <c r="G435" t="s">
        <v>19</v>
      </c>
      <c r="H435" t="s">
        <v>15</v>
      </c>
      <c r="I435">
        <v>6</v>
      </c>
      <c r="J435" s="2">
        <v>544</v>
      </c>
      <c r="K435" s="2">
        <v>355.3</v>
      </c>
      <c r="L435" s="2">
        <f t="shared" si="13"/>
        <v>188.7</v>
      </c>
      <c r="M435" t="s">
        <v>21</v>
      </c>
    </row>
    <row r="436" spans="1:13" x14ac:dyDescent="0.3">
      <c r="A436" t="s">
        <v>463</v>
      </c>
      <c r="B436" s="1">
        <v>45379</v>
      </c>
      <c r="C436" s="1">
        <v>45382</v>
      </c>
      <c r="D436" s="6">
        <f t="shared" si="12"/>
        <v>3</v>
      </c>
      <c r="E436" t="s">
        <v>12</v>
      </c>
      <c r="F436" t="s">
        <v>31</v>
      </c>
      <c r="G436" t="s">
        <v>14</v>
      </c>
      <c r="H436" t="s">
        <v>40</v>
      </c>
      <c r="I436">
        <v>7</v>
      </c>
      <c r="J436" s="2">
        <v>1394.27</v>
      </c>
      <c r="K436" s="2">
        <v>977.15</v>
      </c>
      <c r="L436" s="2">
        <f t="shared" si="13"/>
        <v>417.12</v>
      </c>
      <c r="M436" t="s">
        <v>29</v>
      </c>
    </row>
    <row r="437" spans="1:13" x14ac:dyDescent="0.3">
      <c r="A437" t="s">
        <v>464</v>
      </c>
      <c r="B437" s="1">
        <v>45417</v>
      </c>
      <c r="C437" s="1">
        <v>45425</v>
      </c>
      <c r="D437" s="6">
        <f t="shared" si="12"/>
        <v>8</v>
      </c>
      <c r="E437" t="s">
        <v>23</v>
      </c>
      <c r="F437" t="s">
        <v>27</v>
      </c>
      <c r="G437" t="s">
        <v>19</v>
      </c>
      <c r="H437" t="s">
        <v>25</v>
      </c>
      <c r="I437">
        <v>8</v>
      </c>
      <c r="J437" s="2">
        <v>1701.79</v>
      </c>
      <c r="K437" s="2">
        <v>1201.8800000000001</v>
      </c>
      <c r="L437" s="2">
        <f t="shared" si="13"/>
        <v>499.90999999999985</v>
      </c>
      <c r="M437" t="s">
        <v>16</v>
      </c>
    </row>
    <row r="438" spans="1:13" x14ac:dyDescent="0.3">
      <c r="A438" t="s">
        <v>465</v>
      </c>
      <c r="B438" s="1">
        <v>45340</v>
      </c>
      <c r="C438" s="1">
        <v>45347</v>
      </c>
      <c r="D438" s="6">
        <f t="shared" si="12"/>
        <v>7</v>
      </c>
      <c r="E438" t="s">
        <v>23</v>
      </c>
      <c r="F438" t="s">
        <v>31</v>
      </c>
      <c r="G438" t="s">
        <v>19</v>
      </c>
      <c r="H438" t="s">
        <v>15</v>
      </c>
      <c r="I438">
        <v>9</v>
      </c>
      <c r="J438" s="2">
        <v>432.01</v>
      </c>
      <c r="K438" s="2">
        <v>273.73</v>
      </c>
      <c r="L438" s="2">
        <f t="shared" si="13"/>
        <v>158.27999999999997</v>
      </c>
      <c r="M438" t="s">
        <v>29</v>
      </c>
    </row>
    <row r="439" spans="1:13" x14ac:dyDescent="0.3">
      <c r="A439" t="s">
        <v>466</v>
      </c>
      <c r="B439" s="1">
        <v>45516</v>
      </c>
      <c r="C439" s="1">
        <v>45521</v>
      </c>
      <c r="D439" s="6">
        <f t="shared" si="12"/>
        <v>5</v>
      </c>
      <c r="E439" t="s">
        <v>42</v>
      </c>
      <c r="F439" t="s">
        <v>31</v>
      </c>
      <c r="G439" t="s">
        <v>14</v>
      </c>
      <c r="H439" t="s">
        <v>25</v>
      </c>
      <c r="I439">
        <v>4</v>
      </c>
      <c r="J439" s="2">
        <v>1868.76</v>
      </c>
      <c r="K439" s="2">
        <v>1228.44</v>
      </c>
      <c r="L439" s="2">
        <f t="shared" si="13"/>
        <v>640.31999999999994</v>
      </c>
      <c r="M439" t="s">
        <v>21</v>
      </c>
    </row>
    <row r="440" spans="1:13" x14ac:dyDescent="0.3">
      <c r="A440" t="s">
        <v>467</v>
      </c>
      <c r="B440" s="1">
        <v>45554</v>
      </c>
      <c r="C440" s="1">
        <v>45556</v>
      </c>
      <c r="D440" s="6">
        <f t="shared" si="12"/>
        <v>2</v>
      </c>
      <c r="E440" t="s">
        <v>18</v>
      </c>
      <c r="F440" t="s">
        <v>31</v>
      </c>
      <c r="G440" t="s">
        <v>14</v>
      </c>
      <c r="H440" t="s">
        <v>40</v>
      </c>
      <c r="I440">
        <v>3</v>
      </c>
      <c r="J440" s="2">
        <v>487.19</v>
      </c>
      <c r="K440" s="2">
        <v>382.6</v>
      </c>
      <c r="L440" s="2">
        <f t="shared" si="13"/>
        <v>104.58999999999997</v>
      </c>
      <c r="M440" t="s">
        <v>21</v>
      </c>
    </row>
    <row r="441" spans="1:13" x14ac:dyDescent="0.3">
      <c r="A441" t="s">
        <v>468</v>
      </c>
      <c r="B441" s="1">
        <v>45404</v>
      </c>
      <c r="C441" s="1">
        <v>45409</v>
      </c>
      <c r="D441" s="6">
        <f t="shared" si="12"/>
        <v>5</v>
      </c>
      <c r="E441" t="s">
        <v>23</v>
      </c>
      <c r="F441" t="s">
        <v>24</v>
      </c>
      <c r="G441" t="s">
        <v>14</v>
      </c>
      <c r="H441" t="s">
        <v>15</v>
      </c>
      <c r="I441">
        <v>3</v>
      </c>
      <c r="J441" s="2">
        <v>1754.29</v>
      </c>
      <c r="K441" s="2">
        <v>1160.02</v>
      </c>
      <c r="L441" s="2">
        <f t="shared" si="13"/>
        <v>594.27</v>
      </c>
      <c r="M441" t="s">
        <v>16</v>
      </c>
    </row>
    <row r="442" spans="1:13" x14ac:dyDescent="0.3">
      <c r="A442" t="s">
        <v>469</v>
      </c>
      <c r="B442" s="1">
        <v>45631</v>
      </c>
      <c r="C442" s="1">
        <v>45636</v>
      </c>
      <c r="D442" s="6">
        <f t="shared" si="12"/>
        <v>5</v>
      </c>
      <c r="E442" t="s">
        <v>12</v>
      </c>
      <c r="F442" t="s">
        <v>27</v>
      </c>
      <c r="G442" t="s">
        <v>14</v>
      </c>
      <c r="H442" t="s">
        <v>20</v>
      </c>
      <c r="I442">
        <v>9</v>
      </c>
      <c r="J442" s="2">
        <v>946.97</v>
      </c>
      <c r="K442" s="2">
        <v>731.53</v>
      </c>
      <c r="L442" s="2">
        <f t="shared" si="13"/>
        <v>215.44000000000005</v>
      </c>
      <c r="M442" t="s">
        <v>16</v>
      </c>
    </row>
    <row r="443" spans="1:13" x14ac:dyDescent="0.3">
      <c r="A443" t="s">
        <v>470</v>
      </c>
      <c r="B443" s="1">
        <v>45639</v>
      </c>
      <c r="C443" s="1">
        <v>45648</v>
      </c>
      <c r="D443" s="6">
        <f t="shared" si="12"/>
        <v>9</v>
      </c>
      <c r="E443" t="s">
        <v>42</v>
      </c>
      <c r="F443" t="s">
        <v>31</v>
      </c>
      <c r="G443" t="s">
        <v>14</v>
      </c>
      <c r="H443" t="s">
        <v>40</v>
      </c>
      <c r="I443">
        <v>6</v>
      </c>
      <c r="J443" s="2">
        <v>1932.23</v>
      </c>
      <c r="K443" s="2">
        <v>1416.88</v>
      </c>
      <c r="L443" s="2">
        <f t="shared" si="13"/>
        <v>515.34999999999991</v>
      </c>
      <c r="M443" t="s">
        <v>29</v>
      </c>
    </row>
    <row r="444" spans="1:13" x14ac:dyDescent="0.3">
      <c r="A444" t="s">
        <v>471</v>
      </c>
      <c r="B444" s="1">
        <v>45350</v>
      </c>
      <c r="C444" s="1">
        <v>45360</v>
      </c>
      <c r="D444" s="6">
        <f t="shared" si="12"/>
        <v>10</v>
      </c>
      <c r="E444" t="s">
        <v>18</v>
      </c>
      <c r="F444" t="s">
        <v>33</v>
      </c>
      <c r="G444" t="s">
        <v>19</v>
      </c>
      <c r="H444" t="s">
        <v>20</v>
      </c>
      <c r="I444">
        <v>2</v>
      </c>
      <c r="J444" s="2">
        <v>154.57</v>
      </c>
      <c r="K444" s="2">
        <v>96.09</v>
      </c>
      <c r="L444" s="2">
        <f t="shared" si="13"/>
        <v>58.47999999999999</v>
      </c>
      <c r="M444" t="s">
        <v>16</v>
      </c>
    </row>
    <row r="445" spans="1:13" x14ac:dyDescent="0.3">
      <c r="A445" t="s">
        <v>472</v>
      </c>
      <c r="B445" s="1">
        <v>45401</v>
      </c>
      <c r="C445" s="1">
        <v>45410</v>
      </c>
      <c r="D445" s="6">
        <f t="shared" si="12"/>
        <v>9</v>
      </c>
      <c r="E445" t="s">
        <v>23</v>
      </c>
      <c r="F445" t="s">
        <v>31</v>
      </c>
      <c r="G445" t="s">
        <v>14</v>
      </c>
      <c r="H445" t="s">
        <v>25</v>
      </c>
      <c r="I445">
        <v>7</v>
      </c>
      <c r="J445" s="2">
        <v>154.81</v>
      </c>
      <c r="K445" s="2">
        <v>126.05</v>
      </c>
      <c r="L445" s="2">
        <f t="shared" si="13"/>
        <v>28.760000000000005</v>
      </c>
      <c r="M445" t="s">
        <v>29</v>
      </c>
    </row>
    <row r="446" spans="1:13" x14ac:dyDescent="0.3">
      <c r="A446" t="s">
        <v>473</v>
      </c>
      <c r="B446" s="1">
        <v>45577</v>
      </c>
      <c r="C446" s="1">
        <v>45584</v>
      </c>
      <c r="D446" s="6">
        <f t="shared" si="12"/>
        <v>7</v>
      </c>
      <c r="E446" t="s">
        <v>42</v>
      </c>
      <c r="F446" t="s">
        <v>27</v>
      </c>
      <c r="G446" t="s">
        <v>14</v>
      </c>
      <c r="H446" t="s">
        <v>40</v>
      </c>
      <c r="I446">
        <v>2</v>
      </c>
      <c r="J446" s="2">
        <v>112.14</v>
      </c>
      <c r="K446" s="2">
        <v>72.040000000000006</v>
      </c>
      <c r="L446" s="2">
        <f t="shared" si="13"/>
        <v>40.099999999999994</v>
      </c>
      <c r="M446" t="s">
        <v>21</v>
      </c>
    </row>
    <row r="447" spans="1:13" x14ac:dyDescent="0.3">
      <c r="A447" t="s">
        <v>474</v>
      </c>
      <c r="B447" s="1">
        <v>45505</v>
      </c>
      <c r="C447" s="1">
        <v>45510</v>
      </c>
      <c r="D447" s="6">
        <f t="shared" si="12"/>
        <v>5</v>
      </c>
      <c r="E447" t="s">
        <v>23</v>
      </c>
      <c r="F447" t="s">
        <v>33</v>
      </c>
      <c r="G447" t="s">
        <v>14</v>
      </c>
      <c r="H447" t="s">
        <v>25</v>
      </c>
      <c r="I447">
        <v>7</v>
      </c>
      <c r="J447" s="2">
        <v>666.46</v>
      </c>
      <c r="K447" s="2">
        <v>559.41</v>
      </c>
      <c r="L447" s="2">
        <f t="shared" si="13"/>
        <v>107.05000000000007</v>
      </c>
      <c r="M447" t="s">
        <v>29</v>
      </c>
    </row>
    <row r="448" spans="1:13" x14ac:dyDescent="0.3">
      <c r="A448" t="s">
        <v>475</v>
      </c>
      <c r="B448" s="1">
        <v>45580</v>
      </c>
      <c r="C448" s="1">
        <v>45585</v>
      </c>
      <c r="D448" s="6">
        <f t="shared" si="12"/>
        <v>5</v>
      </c>
      <c r="E448" t="s">
        <v>42</v>
      </c>
      <c r="F448" t="s">
        <v>31</v>
      </c>
      <c r="G448" t="s">
        <v>19</v>
      </c>
      <c r="H448" t="s">
        <v>15</v>
      </c>
      <c r="I448">
        <v>2</v>
      </c>
      <c r="J448" s="2">
        <v>770.42</v>
      </c>
      <c r="K448" s="2">
        <v>463.28</v>
      </c>
      <c r="L448" s="2">
        <f t="shared" si="13"/>
        <v>307.14</v>
      </c>
      <c r="M448" t="s">
        <v>16</v>
      </c>
    </row>
    <row r="449" spans="1:13" x14ac:dyDescent="0.3">
      <c r="A449" t="s">
        <v>476</v>
      </c>
      <c r="B449" s="1">
        <v>45355</v>
      </c>
      <c r="C449" s="1">
        <v>45364</v>
      </c>
      <c r="D449" s="6">
        <f t="shared" si="12"/>
        <v>9</v>
      </c>
      <c r="E449" t="s">
        <v>18</v>
      </c>
      <c r="F449" t="s">
        <v>24</v>
      </c>
      <c r="G449" t="s">
        <v>19</v>
      </c>
      <c r="H449" t="s">
        <v>20</v>
      </c>
      <c r="I449">
        <v>5</v>
      </c>
      <c r="J449" s="2">
        <v>483.11</v>
      </c>
      <c r="K449" s="2">
        <v>322.37</v>
      </c>
      <c r="L449" s="2">
        <f t="shared" si="13"/>
        <v>160.74</v>
      </c>
      <c r="M449" t="s">
        <v>21</v>
      </c>
    </row>
    <row r="450" spans="1:13" x14ac:dyDescent="0.3">
      <c r="A450" t="s">
        <v>477</v>
      </c>
      <c r="B450" s="1">
        <v>45536</v>
      </c>
      <c r="C450" s="1">
        <v>45540</v>
      </c>
      <c r="D450" s="6">
        <f t="shared" si="12"/>
        <v>4</v>
      </c>
      <c r="E450" t="s">
        <v>12</v>
      </c>
      <c r="F450" t="s">
        <v>31</v>
      </c>
      <c r="G450" t="s">
        <v>14</v>
      </c>
      <c r="H450" t="s">
        <v>40</v>
      </c>
      <c r="I450">
        <v>7</v>
      </c>
      <c r="J450" s="2">
        <v>1778.37</v>
      </c>
      <c r="K450" s="2">
        <v>1500.09</v>
      </c>
      <c r="L450" s="2">
        <f t="shared" si="13"/>
        <v>278.27999999999997</v>
      </c>
      <c r="M450" t="s">
        <v>29</v>
      </c>
    </row>
    <row r="451" spans="1:13" x14ac:dyDescent="0.3">
      <c r="A451" t="s">
        <v>478</v>
      </c>
      <c r="B451" s="1">
        <v>45540</v>
      </c>
      <c r="C451" s="1">
        <v>45547</v>
      </c>
      <c r="D451" s="6">
        <f t="shared" ref="D451:D501" si="14">C451-B451</f>
        <v>7</v>
      </c>
      <c r="E451" t="s">
        <v>12</v>
      </c>
      <c r="F451" t="s">
        <v>27</v>
      </c>
      <c r="G451" t="s">
        <v>19</v>
      </c>
      <c r="H451" t="s">
        <v>25</v>
      </c>
      <c r="I451">
        <v>4</v>
      </c>
      <c r="J451" s="2">
        <v>548.63</v>
      </c>
      <c r="K451" s="2">
        <v>380.11</v>
      </c>
      <c r="L451" s="2">
        <f t="shared" ref="L451:L501" si="15">J451-K451</f>
        <v>168.51999999999998</v>
      </c>
      <c r="M451" t="s">
        <v>29</v>
      </c>
    </row>
    <row r="452" spans="1:13" x14ac:dyDescent="0.3">
      <c r="A452" t="s">
        <v>479</v>
      </c>
      <c r="B452" s="1">
        <v>45463</v>
      </c>
      <c r="C452" s="1">
        <v>45470</v>
      </c>
      <c r="D452" s="6">
        <f t="shared" si="14"/>
        <v>7</v>
      </c>
      <c r="E452" t="s">
        <v>23</v>
      </c>
      <c r="F452" t="s">
        <v>31</v>
      </c>
      <c r="G452" t="s">
        <v>14</v>
      </c>
      <c r="H452" t="s">
        <v>40</v>
      </c>
      <c r="I452">
        <v>3</v>
      </c>
      <c r="J452" s="2">
        <v>1935.19</v>
      </c>
      <c r="K452" s="2">
        <v>1187.99</v>
      </c>
      <c r="L452" s="2">
        <f t="shared" si="15"/>
        <v>747.2</v>
      </c>
      <c r="M452" t="s">
        <v>29</v>
      </c>
    </row>
    <row r="453" spans="1:13" x14ac:dyDescent="0.3">
      <c r="A453" t="s">
        <v>480</v>
      </c>
      <c r="B453" s="1">
        <v>45635</v>
      </c>
      <c r="C453" s="1">
        <v>45637</v>
      </c>
      <c r="D453" s="6">
        <f t="shared" si="14"/>
        <v>2</v>
      </c>
      <c r="E453" t="s">
        <v>18</v>
      </c>
      <c r="F453" t="s">
        <v>31</v>
      </c>
      <c r="G453" t="s">
        <v>14</v>
      </c>
      <c r="H453" t="s">
        <v>15</v>
      </c>
      <c r="I453">
        <v>7</v>
      </c>
      <c r="J453" s="2">
        <v>114.03</v>
      </c>
      <c r="K453" s="2">
        <v>71.069999999999993</v>
      </c>
      <c r="L453" s="2">
        <f t="shared" si="15"/>
        <v>42.960000000000008</v>
      </c>
      <c r="M453" t="s">
        <v>21</v>
      </c>
    </row>
    <row r="454" spans="1:13" x14ac:dyDescent="0.3">
      <c r="A454" t="s">
        <v>481</v>
      </c>
      <c r="B454" s="1">
        <v>45454</v>
      </c>
      <c r="C454" s="1">
        <v>45463</v>
      </c>
      <c r="D454" s="6">
        <f t="shared" si="14"/>
        <v>9</v>
      </c>
      <c r="E454" t="s">
        <v>18</v>
      </c>
      <c r="F454" t="s">
        <v>13</v>
      </c>
      <c r="G454" t="s">
        <v>14</v>
      </c>
      <c r="H454" t="s">
        <v>25</v>
      </c>
      <c r="I454">
        <v>6</v>
      </c>
      <c r="J454" s="2">
        <v>1532.41</v>
      </c>
      <c r="K454" s="2">
        <v>1285.7</v>
      </c>
      <c r="L454" s="2">
        <f t="shared" si="15"/>
        <v>246.71000000000004</v>
      </c>
      <c r="M454" t="s">
        <v>29</v>
      </c>
    </row>
    <row r="455" spans="1:13" x14ac:dyDescent="0.3">
      <c r="A455" t="s">
        <v>482</v>
      </c>
      <c r="B455" s="1">
        <v>45545</v>
      </c>
      <c r="C455" s="1">
        <v>45552</v>
      </c>
      <c r="D455" s="6">
        <f t="shared" si="14"/>
        <v>7</v>
      </c>
      <c r="E455" t="s">
        <v>23</v>
      </c>
      <c r="F455" t="s">
        <v>13</v>
      </c>
      <c r="G455" t="s">
        <v>14</v>
      </c>
      <c r="H455" t="s">
        <v>15</v>
      </c>
      <c r="I455">
        <v>10</v>
      </c>
      <c r="J455" s="2">
        <v>388.62</v>
      </c>
      <c r="K455" s="2">
        <v>317.89999999999998</v>
      </c>
      <c r="L455" s="2">
        <f t="shared" si="15"/>
        <v>70.720000000000027</v>
      </c>
      <c r="M455" t="s">
        <v>29</v>
      </c>
    </row>
    <row r="456" spans="1:13" x14ac:dyDescent="0.3">
      <c r="A456" t="s">
        <v>483</v>
      </c>
      <c r="B456" s="1">
        <v>45493</v>
      </c>
      <c r="C456" s="1">
        <v>45497</v>
      </c>
      <c r="D456" s="6">
        <f t="shared" si="14"/>
        <v>4</v>
      </c>
      <c r="E456" t="s">
        <v>23</v>
      </c>
      <c r="F456" t="s">
        <v>31</v>
      </c>
      <c r="G456" t="s">
        <v>14</v>
      </c>
      <c r="H456" t="s">
        <v>40</v>
      </c>
      <c r="I456">
        <v>3</v>
      </c>
      <c r="J456" s="2">
        <v>1162.3699999999999</v>
      </c>
      <c r="K456" s="2">
        <v>795.23</v>
      </c>
      <c r="L456" s="2">
        <f t="shared" si="15"/>
        <v>367.13999999999987</v>
      </c>
      <c r="M456" t="s">
        <v>16</v>
      </c>
    </row>
    <row r="457" spans="1:13" x14ac:dyDescent="0.3">
      <c r="A457" t="s">
        <v>484</v>
      </c>
      <c r="B457" s="1">
        <v>45460</v>
      </c>
      <c r="C457" s="1">
        <v>45467</v>
      </c>
      <c r="D457" s="6">
        <f t="shared" si="14"/>
        <v>7</v>
      </c>
      <c r="E457" t="s">
        <v>23</v>
      </c>
      <c r="F457" t="s">
        <v>33</v>
      </c>
      <c r="G457" t="s">
        <v>14</v>
      </c>
      <c r="H457" t="s">
        <v>25</v>
      </c>
      <c r="I457">
        <v>4</v>
      </c>
      <c r="J457" s="2">
        <v>171.42</v>
      </c>
      <c r="K457" s="2">
        <v>140.81</v>
      </c>
      <c r="L457" s="2">
        <f t="shared" si="15"/>
        <v>30.609999999999985</v>
      </c>
      <c r="M457" t="s">
        <v>21</v>
      </c>
    </row>
    <row r="458" spans="1:13" x14ac:dyDescent="0.3">
      <c r="A458" t="s">
        <v>485</v>
      </c>
      <c r="B458" s="1">
        <v>45502</v>
      </c>
      <c r="C458" s="1">
        <v>45505</v>
      </c>
      <c r="D458" s="6">
        <f t="shared" si="14"/>
        <v>3</v>
      </c>
      <c r="E458" t="s">
        <v>42</v>
      </c>
      <c r="F458" t="s">
        <v>13</v>
      </c>
      <c r="G458" t="s">
        <v>19</v>
      </c>
      <c r="H458" t="s">
        <v>25</v>
      </c>
      <c r="I458">
        <v>10</v>
      </c>
      <c r="J458" s="2">
        <v>842.48</v>
      </c>
      <c r="K458" s="2">
        <v>702.24</v>
      </c>
      <c r="L458" s="2">
        <f t="shared" si="15"/>
        <v>140.24</v>
      </c>
      <c r="M458" t="s">
        <v>16</v>
      </c>
    </row>
    <row r="459" spans="1:13" x14ac:dyDescent="0.3">
      <c r="A459" t="s">
        <v>486</v>
      </c>
      <c r="B459" s="1">
        <v>45544</v>
      </c>
      <c r="C459" s="1">
        <v>45554</v>
      </c>
      <c r="D459" s="6">
        <f t="shared" si="14"/>
        <v>10</v>
      </c>
      <c r="E459" t="s">
        <v>12</v>
      </c>
      <c r="F459" t="s">
        <v>31</v>
      </c>
      <c r="G459" t="s">
        <v>19</v>
      </c>
      <c r="H459" t="s">
        <v>40</v>
      </c>
      <c r="I459">
        <v>4</v>
      </c>
      <c r="J459" s="2">
        <v>121.78</v>
      </c>
      <c r="K459" s="2">
        <v>80.739999999999995</v>
      </c>
      <c r="L459" s="2">
        <f t="shared" si="15"/>
        <v>41.040000000000006</v>
      </c>
      <c r="M459" t="s">
        <v>29</v>
      </c>
    </row>
    <row r="460" spans="1:13" x14ac:dyDescent="0.3">
      <c r="A460" t="s">
        <v>487</v>
      </c>
      <c r="B460" s="1">
        <v>45473</v>
      </c>
      <c r="C460" s="1">
        <v>45483</v>
      </c>
      <c r="D460" s="6">
        <f t="shared" si="14"/>
        <v>10</v>
      </c>
      <c r="E460" t="s">
        <v>12</v>
      </c>
      <c r="F460" t="s">
        <v>31</v>
      </c>
      <c r="G460" t="s">
        <v>19</v>
      </c>
      <c r="H460" t="s">
        <v>40</v>
      </c>
      <c r="I460">
        <v>3</v>
      </c>
      <c r="J460" s="2">
        <v>470.69</v>
      </c>
      <c r="K460" s="2">
        <v>368.35</v>
      </c>
      <c r="L460" s="2">
        <f t="shared" si="15"/>
        <v>102.33999999999997</v>
      </c>
      <c r="M460" t="s">
        <v>21</v>
      </c>
    </row>
    <row r="461" spans="1:13" x14ac:dyDescent="0.3">
      <c r="A461" t="s">
        <v>488</v>
      </c>
      <c r="B461" s="1">
        <v>45548</v>
      </c>
      <c r="C461" s="1">
        <v>45558</v>
      </c>
      <c r="D461" s="6">
        <f t="shared" si="14"/>
        <v>10</v>
      </c>
      <c r="E461" t="s">
        <v>42</v>
      </c>
      <c r="F461" t="s">
        <v>24</v>
      </c>
      <c r="G461" t="s">
        <v>14</v>
      </c>
      <c r="H461" t="s">
        <v>40</v>
      </c>
      <c r="I461">
        <v>10</v>
      </c>
      <c r="J461" s="2">
        <v>714.55</v>
      </c>
      <c r="K461" s="2">
        <v>528.09</v>
      </c>
      <c r="L461" s="2">
        <f t="shared" si="15"/>
        <v>186.45999999999992</v>
      </c>
      <c r="M461" t="s">
        <v>29</v>
      </c>
    </row>
    <row r="462" spans="1:13" x14ac:dyDescent="0.3">
      <c r="A462" t="s">
        <v>489</v>
      </c>
      <c r="B462" s="1">
        <v>45521</v>
      </c>
      <c r="C462" s="1">
        <v>45530</v>
      </c>
      <c r="D462" s="6">
        <f t="shared" si="14"/>
        <v>9</v>
      </c>
      <c r="E462" t="s">
        <v>23</v>
      </c>
      <c r="F462" t="s">
        <v>33</v>
      </c>
      <c r="G462" t="s">
        <v>14</v>
      </c>
      <c r="H462" t="s">
        <v>40</v>
      </c>
      <c r="I462">
        <v>3</v>
      </c>
      <c r="J462" s="2">
        <v>586.03</v>
      </c>
      <c r="K462" s="2">
        <v>487.38</v>
      </c>
      <c r="L462" s="2">
        <f t="shared" si="15"/>
        <v>98.649999999999977</v>
      </c>
      <c r="M462" t="s">
        <v>16</v>
      </c>
    </row>
    <row r="463" spans="1:13" x14ac:dyDescent="0.3">
      <c r="A463" t="s">
        <v>490</v>
      </c>
      <c r="B463" s="1">
        <v>45585</v>
      </c>
      <c r="C463" s="1">
        <v>45595</v>
      </c>
      <c r="D463" s="6">
        <f t="shared" si="14"/>
        <v>10</v>
      </c>
      <c r="E463" t="s">
        <v>23</v>
      </c>
      <c r="F463" t="s">
        <v>31</v>
      </c>
      <c r="G463" t="s">
        <v>14</v>
      </c>
      <c r="H463" t="s">
        <v>15</v>
      </c>
      <c r="I463">
        <v>4</v>
      </c>
      <c r="J463" s="2">
        <v>1633.48</v>
      </c>
      <c r="K463" s="2">
        <v>1264.96</v>
      </c>
      <c r="L463" s="2">
        <f t="shared" si="15"/>
        <v>368.52</v>
      </c>
      <c r="M463" t="s">
        <v>29</v>
      </c>
    </row>
    <row r="464" spans="1:13" x14ac:dyDescent="0.3">
      <c r="A464" t="s">
        <v>491</v>
      </c>
      <c r="B464" s="1">
        <v>45565</v>
      </c>
      <c r="C464" s="1">
        <v>45575</v>
      </c>
      <c r="D464" s="6">
        <f t="shared" si="14"/>
        <v>10</v>
      </c>
      <c r="E464" t="s">
        <v>23</v>
      </c>
      <c r="F464" t="s">
        <v>24</v>
      </c>
      <c r="G464" t="s">
        <v>19</v>
      </c>
      <c r="H464" t="s">
        <v>25</v>
      </c>
      <c r="I464">
        <v>6</v>
      </c>
      <c r="J464" s="2">
        <v>752.15</v>
      </c>
      <c r="K464" s="2">
        <v>638.66999999999996</v>
      </c>
      <c r="L464" s="2">
        <f t="shared" si="15"/>
        <v>113.48000000000002</v>
      </c>
      <c r="M464" t="s">
        <v>16</v>
      </c>
    </row>
    <row r="465" spans="1:13" x14ac:dyDescent="0.3">
      <c r="A465" t="s">
        <v>492</v>
      </c>
      <c r="B465" s="1">
        <v>45367</v>
      </c>
      <c r="C465" s="1">
        <v>45371</v>
      </c>
      <c r="D465" s="6">
        <f t="shared" si="14"/>
        <v>4</v>
      </c>
      <c r="E465" t="s">
        <v>23</v>
      </c>
      <c r="F465" t="s">
        <v>13</v>
      </c>
      <c r="G465" t="s">
        <v>19</v>
      </c>
      <c r="H465" t="s">
        <v>40</v>
      </c>
      <c r="I465">
        <v>5</v>
      </c>
      <c r="J465" s="2">
        <v>1073.3900000000001</v>
      </c>
      <c r="K465" s="2">
        <v>888.67</v>
      </c>
      <c r="L465" s="2">
        <f t="shared" si="15"/>
        <v>184.72000000000014</v>
      </c>
      <c r="M465" t="s">
        <v>29</v>
      </c>
    </row>
    <row r="466" spans="1:13" x14ac:dyDescent="0.3">
      <c r="A466" t="s">
        <v>493</v>
      </c>
      <c r="B466" s="1">
        <v>45554</v>
      </c>
      <c r="C466" s="1">
        <v>45559</v>
      </c>
      <c r="D466" s="6">
        <f t="shared" si="14"/>
        <v>5</v>
      </c>
      <c r="E466" t="s">
        <v>18</v>
      </c>
      <c r="F466" t="s">
        <v>27</v>
      </c>
      <c r="G466" t="s">
        <v>14</v>
      </c>
      <c r="H466" t="s">
        <v>15</v>
      </c>
      <c r="I466">
        <v>6</v>
      </c>
      <c r="J466" s="2">
        <v>1150.8900000000001</v>
      </c>
      <c r="K466" s="2">
        <v>954.73</v>
      </c>
      <c r="L466" s="2">
        <f t="shared" si="15"/>
        <v>196.16000000000008</v>
      </c>
      <c r="M466" t="s">
        <v>29</v>
      </c>
    </row>
    <row r="467" spans="1:13" x14ac:dyDescent="0.3">
      <c r="A467" t="s">
        <v>494</v>
      </c>
      <c r="B467" s="1">
        <v>45615</v>
      </c>
      <c r="C467" s="1">
        <v>45622</v>
      </c>
      <c r="D467" s="6">
        <f t="shared" si="14"/>
        <v>7</v>
      </c>
      <c r="E467" t="s">
        <v>23</v>
      </c>
      <c r="F467" t="s">
        <v>33</v>
      </c>
      <c r="G467" t="s">
        <v>19</v>
      </c>
      <c r="H467" t="s">
        <v>40</v>
      </c>
      <c r="I467">
        <v>2</v>
      </c>
      <c r="J467" s="2">
        <v>1543.84</v>
      </c>
      <c r="K467" s="2">
        <v>1162.99</v>
      </c>
      <c r="L467" s="2">
        <f t="shared" si="15"/>
        <v>380.84999999999991</v>
      </c>
      <c r="M467" t="s">
        <v>29</v>
      </c>
    </row>
    <row r="468" spans="1:13" x14ac:dyDescent="0.3">
      <c r="A468" t="s">
        <v>495</v>
      </c>
      <c r="B468" s="1">
        <v>45515</v>
      </c>
      <c r="C468" s="1">
        <v>45520</v>
      </c>
      <c r="D468" s="6">
        <f t="shared" si="14"/>
        <v>5</v>
      </c>
      <c r="E468" t="s">
        <v>18</v>
      </c>
      <c r="F468" t="s">
        <v>27</v>
      </c>
      <c r="G468" t="s">
        <v>14</v>
      </c>
      <c r="H468" t="s">
        <v>15</v>
      </c>
      <c r="I468">
        <v>10</v>
      </c>
      <c r="J468" s="2">
        <v>310.52999999999997</v>
      </c>
      <c r="K468" s="2">
        <v>240.18</v>
      </c>
      <c r="L468" s="2">
        <f t="shared" si="15"/>
        <v>70.349999999999966</v>
      </c>
      <c r="M468" t="s">
        <v>29</v>
      </c>
    </row>
    <row r="469" spans="1:13" x14ac:dyDescent="0.3">
      <c r="A469" t="s">
        <v>496</v>
      </c>
      <c r="B469" s="1">
        <v>45539</v>
      </c>
      <c r="C469" s="1">
        <v>45545</v>
      </c>
      <c r="D469" s="6">
        <f t="shared" si="14"/>
        <v>6</v>
      </c>
      <c r="E469" t="s">
        <v>12</v>
      </c>
      <c r="F469" t="s">
        <v>31</v>
      </c>
      <c r="G469" t="s">
        <v>19</v>
      </c>
      <c r="H469" t="s">
        <v>20</v>
      </c>
      <c r="I469">
        <v>7</v>
      </c>
      <c r="J469" s="2">
        <v>855.27</v>
      </c>
      <c r="K469" s="2">
        <v>621.55999999999995</v>
      </c>
      <c r="L469" s="2">
        <f t="shared" si="15"/>
        <v>233.71000000000004</v>
      </c>
      <c r="M469" t="s">
        <v>29</v>
      </c>
    </row>
    <row r="470" spans="1:13" x14ac:dyDescent="0.3">
      <c r="A470" t="s">
        <v>497</v>
      </c>
      <c r="B470" s="1">
        <v>45334</v>
      </c>
      <c r="C470" s="1">
        <v>45342</v>
      </c>
      <c r="D470" s="6">
        <f t="shared" si="14"/>
        <v>8</v>
      </c>
      <c r="E470" t="s">
        <v>42</v>
      </c>
      <c r="F470" t="s">
        <v>31</v>
      </c>
      <c r="G470" t="s">
        <v>19</v>
      </c>
      <c r="H470" t="s">
        <v>15</v>
      </c>
      <c r="I470">
        <v>1</v>
      </c>
      <c r="J470" s="2">
        <v>811.28</v>
      </c>
      <c r="K470" s="2">
        <v>521.13</v>
      </c>
      <c r="L470" s="2">
        <f t="shared" si="15"/>
        <v>290.14999999999998</v>
      </c>
      <c r="M470" t="s">
        <v>29</v>
      </c>
    </row>
    <row r="471" spans="1:13" x14ac:dyDescent="0.3">
      <c r="A471" t="s">
        <v>498</v>
      </c>
      <c r="B471" s="1">
        <v>45349</v>
      </c>
      <c r="C471" s="1">
        <v>45354</v>
      </c>
      <c r="D471" s="6">
        <f t="shared" si="14"/>
        <v>5</v>
      </c>
      <c r="E471" t="s">
        <v>18</v>
      </c>
      <c r="F471" t="s">
        <v>13</v>
      </c>
      <c r="G471" t="s">
        <v>19</v>
      </c>
      <c r="H471" t="s">
        <v>25</v>
      </c>
      <c r="I471">
        <v>1</v>
      </c>
      <c r="J471" s="2">
        <v>657.78</v>
      </c>
      <c r="K471" s="2">
        <v>548.04999999999995</v>
      </c>
      <c r="L471" s="2">
        <f t="shared" si="15"/>
        <v>109.73000000000002</v>
      </c>
      <c r="M471" t="s">
        <v>21</v>
      </c>
    </row>
    <row r="472" spans="1:13" x14ac:dyDescent="0.3">
      <c r="A472" t="s">
        <v>499</v>
      </c>
      <c r="B472" s="1">
        <v>45561</v>
      </c>
      <c r="C472" s="1">
        <v>45565</v>
      </c>
      <c r="D472" s="6">
        <f t="shared" si="14"/>
        <v>4</v>
      </c>
      <c r="E472" t="s">
        <v>12</v>
      </c>
      <c r="F472" t="s">
        <v>33</v>
      </c>
      <c r="G472" t="s">
        <v>19</v>
      </c>
      <c r="H472" t="s">
        <v>20</v>
      </c>
      <c r="I472">
        <v>5</v>
      </c>
      <c r="J472" s="2">
        <v>1971.33</v>
      </c>
      <c r="K472" s="2">
        <v>1377.23</v>
      </c>
      <c r="L472" s="2">
        <f t="shared" si="15"/>
        <v>594.09999999999991</v>
      </c>
      <c r="M472" t="s">
        <v>16</v>
      </c>
    </row>
    <row r="473" spans="1:13" x14ac:dyDescent="0.3">
      <c r="A473" t="s">
        <v>500</v>
      </c>
      <c r="B473" s="1">
        <v>45632</v>
      </c>
      <c r="C473" s="1">
        <v>45640</v>
      </c>
      <c r="D473" s="6">
        <f t="shared" si="14"/>
        <v>8</v>
      </c>
      <c r="E473" t="s">
        <v>12</v>
      </c>
      <c r="F473" t="s">
        <v>33</v>
      </c>
      <c r="G473" t="s">
        <v>19</v>
      </c>
      <c r="H473" t="s">
        <v>20</v>
      </c>
      <c r="I473">
        <v>2</v>
      </c>
      <c r="J473" s="2">
        <v>796.42</v>
      </c>
      <c r="K473" s="2">
        <v>560.89</v>
      </c>
      <c r="L473" s="2">
        <f t="shared" si="15"/>
        <v>235.52999999999997</v>
      </c>
      <c r="M473" t="s">
        <v>21</v>
      </c>
    </row>
    <row r="474" spans="1:13" x14ac:dyDescent="0.3">
      <c r="A474" t="s">
        <v>501</v>
      </c>
      <c r="B474" s="1">
        <v>45607</v>
      </c>
      <c r="C474" s="1">
        <v>45609</v>
      </c>
      <c r="D474" s="6">
        <f t="shared" si="14"/>
        <v>2</v>
      </c>
      <c r="E474" t="s">
        <v>23</v>
      </c>
      <c r="F474" t="s">
        <v>27</v>
      </c>
      <c r="G474" t="s">
        <v>14</v>
      </c>
      <c r="H474" t="s">
        <v>40</v>
      </c>
      <c r="I474">
        <v>2</v>
      </c>
      <c r="J474" s="2">
        <v>564.58000000000004</v>
      </c>
      <c r="K474" s="2">
        <v>400.36</v>
      </c>
      <c r="L474" s="2">
        <f t="shared" si="15"/>
        <v>164.22000000000003</v>
      </c>
      <c r="M474" t="s">
        <v>29</v>
      </c>
    </row>
    <row r="475" spans="1:13" x14ac:dyDescent="0.3">
      <c r="A475" t="s">
        <v>502</v>
      </c>
      <c r="B475" s="1">
        <v>45534</v>
      </c>
      <c r="C475" s="1">
        <v>45541</v>
      </c>
      <c r="D475" s="6">
        <f t="shared" si="14"/>
        <v>7</v>
      </c>
      <c r="E475" t="s">
        <v>18</v>
      </c>
      <c r="F475" t="s">
        <v>31</v>
      </c>
      <c r="G475" t="s">
        <v>14</v>
      </c>
      <c r="H475" t="s">
        <v>25</v>
      </c>
      <c r="I475">
        <v>6</v>
      </c>
      <c r="J475" s="2">
        <v>1636.74</v>
      </c>
      <c r="K475" s="2">
        <v>1316.09</v>
      </c>
      <c r="L475" s="2">
        <f t="shared" si="15"/>
        <v>320.65000000000009</v>
      </c>
      <c r="M475" t="s">
        <v>21</v>
      </c>
    </row>
    <row r="476" spans="1:13" x14ac:dyDescent="0.3">
      <c r="A476" t="s">
        <v>503</v>
      </c>
      <c r="B476" s="1">
        <v>45644</v>
      </c>
      <c r="C476" s="1">
        <v>45653</v>
      </c>
      <c r="D476" s="6">
        <f t="shared" si="14"/>
        <v>9</v>
      </c>
      <c r="E476" t="s">
        <v>23</v>
      </c>
      <c r="F476" t="s">
        <v>24</v>
      </c>
      <c r="G476" t="s">
        <v>14</v>
      </c>
      <c r="H476" t="s">
        <v>15</v>
      </c>
      <c r="I476">
        <v>5</v>
      </c>
      <c r="J476" s="2">
        <v>866.38</v>
      </c>
      <c r="K476" s="2">
        <v>664.33</v>
      </c>
      <c r="L476" s="2">
        <f t="shared" si="15"/>
        <v>202.04999999999995</v>
      </c>
      <c r="M476" t="s">
        <v>21</v>
      </c>
    </row>
    <row r="477" spans="1:13" x14ac:dyDescent="0.3">
      <c r="A477" t="s">
        <v>504</v>
      </c>
      <c r="B477" s="1">
        <v>45483</v>
      </c>
      <c r="C477" s="1">
        <v>45489</v>
      </c>
      <c r="D477" s="6">
        <f t="shared" si="14"/>
        <v>6</v>
      </c>
      <c r="E477" t="s">
        <v>23</v>
      </c>
      <c r="F477" t="s">
        <v>33</v>
      </c>
      <c r="G477" t="s">
        <v>19</v>
      </c>
      <c r="H477" t="s">
        <v>25</v>
      </c>
      <c r="I477">
        <v>8</v>
      </c>
      <c r="J477" s="2">
        <v>833.22</v>
      </c>
      <c r="K477" s="2">
        <v>509.53</v>
      </c>
      <c r="L477" s="2">
        <f t="shared" si="15"/>
        <v>323.69000000000005</v>
      </c>
      <c r="M477" t="s">
        <v>21</v>
      </c>
    </row>
    <row r="478" spans="1:13" x14ac:dyDescent="0.3">
      <c r="A478" t="s">
        <v>505</v>
      </c>
      <c r="B478" s="1">
        <v>45374</v>
      </c>
      <c r="C478" s="1">
        <v>45381</v>
      </c>
      <c r="D478" s="6">
        <f t="shared" si="14"/>
        <v>7</v>
      </c>
      <c r="E478" t="s">
        <v>42</v>
      </c>
      <c r="F478" t="s">
        <v>31</v>
      </c>
      <c r="G478" t="s">
        <v>19</v>
      </c>
      <c r="H478" t="s">
        <v>25</v>
      </c>
      <c r="I478">
        <v>1</v>
      </c>
      <c r="J478" s="2">
        <v>889.13</v>
      </c>
      <c r="K478" s="2">
        <v>539.13</v>
      </c>
      <c r="L478" s="2">
        <f t="shared" si="15"/>
        <v>350</v>
      </c>
      <c r="M478" t="s">
        <v>21</v>
      </c>
    </row>
    <row r="479" spans="1:13" x14ac:dyDescent="0.3">
      <c r="A479" t="s">
        <v>506</v>
      </c>
      <c r="B479" s="1">
        <v>45533</v>
      </c>
      <c r="C479" s="1">
        <v>45538</v>
      </c>
      <c r="D479" s="6">
        <f t="shared" si="14"/>
        <v>5</v>
      </c>
      <c r="E479" t="s">
        <v>42</v>
      </c>
      <c r="F479" t="s">
        <v>31</v>
      </c>
      <c r="G479" t="s">
        <v>19</v>
      </c>
      <c r="H479" t="s">
        <v>15</v>
      </c>
      <c r="I479">
        <v>10</v>
      </c>
      <c r="J479" s="2">
        <v>1290.07</v>
      </c>
      <c r="K479" s="2">
        <v>885.64</v>
      </c>
      <c r="L479" s="2">
        <f t="shared" si="15"/>
        <v>404.42999999999995</v>
      </c>
      <c r="M479" t="s">
        <v>16</v>
      </c>
    </row>
    <row r="480" spans="1:13" x14ac:dyDescent="0.3">
      <c r="A480" t="s">
        <v>507</v>
      </c>
      <c r="B480" s="1">
        <v>45556</v>
      </c>
      <c r="C480" s="1">
        <v>45558</v>
      </c>
      <c r="D480" s="6">
        <f t="shared" si="14"/>
        <v>2</v>
      </c>
      <c r="E480" t="s">
        <v>42</v>
      </c>
      <c r="F480" t="s">
        <v>31</v>
      </c>
      <c r="G480" t="s">
        <v>19</v>
      </c>
      <c r="H480" t="s">
        <v>20</v>
      </c>
      <c r="I480">
        <v>9</v>
      </c>
      <c r="J480" s="2">
        <v>521.22</v>
      </c>
      <c r="K480" s="2">
        <v>440.72</v>
      </c>
      <c r="L480" s="2">
        <f t="shared" si="15"/>
        <v>80.5</v>
      </c>
      <c r="M480" t="s">
        <v>29</v>
      </c>
    </row>
    <row r="481" spans="1:13" x14ac:dyDescent="0.3">
      <c r="A481" t="s">
        <v>508</v>
      </c>
      <c r="B481" s="1">
        <v>45505</v>
      </c>
      <c r="C481" s="1">
        <v>45512</v>
      </c>
      <c r="D481" s="6">
        <f t="shared" si="14"/>
        <v>7</v>
      </c>
      <c r="E481" t="s">
        <v>23</v>
      </c>
      <c r="F481" t="s">
        <v>27</v>
      </c>
      <c r="G481" t="s">
        <v>19</v>
      </c>
      <c r="H481" t="s">
        <v>20</v>
      </c>
      <c r="I481">
        <v>4</v>
      </c>
      <c r="J481" s="2">
        <v>744.51</v>
      </c>
      <c r="K481" s="2">
        <v>484.89</v>
      </c>
      <c r="L481" s="2">
        <f t="shared" si="15"/>
        <v>259.62</v>
      </c>
      <c r="M481" t="s">
        <v>29</v>
      </c>
    </row>
    <row r="482" spans="1:13" x14ac:dyDescent="0.3">
      <c r="A482" t="s">
        <v>509</v>
      </c>
      <c r="B482" s="1">
        <v>45606</v>
      </c>
      <c r="C482" s="1">
        <v>45609</v>
      </c>
      <c r="D482" s="6">
        <f t="shared" si="14"/>
        <v>3</v>
      </c>
      <c r="E482" t="s">
        <v>42</v>
      </c>
      <c r="F482" t="s">
        <v>33</v>
      </c>
      <c r="G482" t="s">
        <v>19</v>
      </c>
      <c r="H482" t="s">
        <v>20</v>
      </c>
      <c r="I482">
        <v>3</v>
      </c>
      <c r="J482" s="2">
        <v>1586.5</v>
      </c>
      <c r="K482" s="2">
        <v>1227.8399999999999</v>
      </c>
      <c r="L482" s="2">
        <f t="shared" si="15"/>
        <v>358.66000000000008</v>
      </c>
      <c r="M482" t="s">
        <v>16</v>
      </c>
    </row>
    <row r="483" spans="1:13" x14ac:dyDescent="0.3">
      <c r="A483" t="s">
        <v>510</v>
      </c>
      <c r="B483" s="1">
        <v>45547</v>
      </c>
      <c r="C483" s="1">
        <v>45553</v>
      </c>
      <c r="D483" s="6">
        <f t="shared" si="14"/>
        <v>6</v>
      </c>
      <c r="E483" t="s">
        <v>12</v>
      </c>
      <c r="F483" t="s">
        <v>31</v>
      </c>
      <c r="G483" t="s">
        <v>14</v>
      </c>
      <c r="H483" t="s">
        <v>25</v>
      </c>
      <c r="I483">
        <v>1</v>
      </c>
      <c r="J483" s="2">
        <v>292.41000000000003</v>
      </c>
      <c r="K483" s="2">
        <v>234.93</v>
      </c>
      <c r="L483" s="2">
        <f t="shared" si="15"/>
        <v>57.480000000000018</v>
      </c>
      <c r="M483" t="s">
        <v>21</v>
      </c>
    </row>
    <row r="484" spans="1:13" x14ac:dyDescent="0.3">
      <c r="A484" t="s">
        <v>511</v>
      </c>
      <c r="B484" s="1">
        <v>45411</v>
      </c>
      <c r="C484" s="1">
        <v>45415</v>
      </c>
      <c r="D484" s="6">
        <f t="shared" si="14"/>
        <v>4</v>
      </c>
      <c r="E484" t="s">
        <v>42</v>
      </c>
      <c r="F484" t="s">
        <v>31</v>
      </c>
      <c r="G484" t="s">
        <v>19</v>
      </c>
      <c r="H484" t="s">
        <v>15</v>
      </c>
      <c r="I484">
        <v>10</v>
      </c>
      <c r="J484" s="2">
        <v>1127.17</v>
      </c>
      <c r="K484" s="2">
        <v>933.88</v>
      </c>
      <c r="L484" s="2">
        <f t="shared" si="15"/>
        <v>193.29000000000008</v>
      </c>
      <c r="M484" t="s">
        <v>29</v>
      </c>
    </row>
    <row r="485" spans="1:13" x14ac:dyDescent="0.3">
      <c r="A485" t="s">
        <v>512</v>
      </c>
      <c r="B485" s="1">
        <v>45636</v>
      </c>
      <c r="C485" s="1">
        <v>45641</v>
      </c>
      <c r="D485" s="6">
        <f t="shared" si="14"/>
        <v>5</v>
      </c>
      <c r="E485" t="s">
        <v>42</v>
      </c>
      <c r="F485" t="s">
        <v>24</v>
      </c>
      <c r="G485" t="s">
        <v>14</v>
      </c>
      <c r="H485" t="s">
        <v>40</v>
      </c>
      <c r="I485">
        <v>2</v>
      </c>
      <c r="J485" s="2">
        <v>1830.28</v>
      </c>
      <c r="K485" s="2">
        <v>1308.75</v>
      </c>
      <c r="L485" s="2">
        <f t="shared" si="15"/>
        <v>521.53</v>
      </c>
      <c r="M485" t="s">
        <v>21</v>
      </c>
    </row>
    <row r="486" spans="1:13" x14ac:dyDescent="0.3">
      <c r="A486" t="s">
        <v>513</v>
      </c>
      <c r="B486" s="1">
        <v>45364</v>
      </c>
      <c r="C486" s="1">
        <v>45369</v>
      </c>
      <c r="D486" s="6">
        <f t="shared" si="14"/>
        <v>5</v>
      </c>
      <c r="E486" t="s">
        <v>12</v>
      </c>
      <c r="F486" t="s">
        <v>13</v>
      </c>
      <c r="G486" t="s">
        <v>14</v>
      </c>
      <c r="H486" t="s">
        <v>25</v>
      </c>
      <c r="I486">
        <v>7</v>
      </c>
      <c r="J486" s="2">
        <v>1324.29</v>
      </c>
      <c r="K486" s="2">
        <v>840.52</v>
      </c>
      <c r="L486" s="2">
        <f t="shared" si="15"/>
        <v>483.77</v>
      </c>
      <c r="M486" t="s">
        <v>29</v>
      </c>
    </row>
    <row r="487" spans="1:13" x14ac:dyDescent="0.3">
      <c r="A487" t="s">
        <v>514</v>
      </c>
      <c r="B487" s="1">
        <v>45335</v>
      </c>
      <c r="C487" s="1">
        <v>45341</v>
      </c>
      <c r="D487" s="6">
        <f t="shared" si="14"/>
        <v>6</v>
      </c>
      <c r="E487" t="s">
        <v>23</v>
      </c>
      <c r="F487" t="s">
        <v>13</v>
      </c>
      <c r="G487" t="s">
        <v>19</v>
      </c>
      <c r="H487" t="s">
        <v>20</v>
      </c>
      <c r="I487">
        <v>7</v>
      </c>
      <c r="J487" s="2">
        <v>782.39</v>
      </c>
      <c r="K487" s="2">
        <v>599.74</v>
      </c>
      <c r="L487" s="2">
        <f t="shared" si="15"/>
        <v>182.64999999999998</v>
      </c>
      <c r="M487" t="s">
        <v>29</v>
      </c>
    </row>
    <row r="488" spans="1:13" x14ac:dyDescent="0.3">
      <c r="A488" t="s">
        <v>515</v>
      </c>
      <c r="B488" s="1">
        <v>45654</v>
      </c>
      <c r="C488" s="1">
        <v>45657</v>
      </c>
      <c r="D488" s="6">
        <f t="shared" si="14"/>
        <v>3</v>
      </c>
      <c r="E488" t="s">
        <v>12</v>
      </c>
      <c r="F488" t="s">
        <v>27</v>
      </c>
      <c r="G488" t="s">
        <v>14</v>
      </c>
      <c r="H488" t="s">
        <v>15</v>
      </c>
      <c r="I488">
        <v>10</v>
      </c>
      <c r="J488" s="2">
        <v>495.99</v>
      </c>
      <c r="K488" s="2">
        <v>387.33</v>
      </c>
      <c r="L488" s="2">
        <f t="shared" si="15"/>
        <v>108.66000000000003</v>
      </c>
      <c r="M488" t="s">
        <v>21</v>
      </c>
    </row>
    <row r="489" spans="1:13" x14ac:dyDescent="0.3">
      <c r="A489" t="s">
        <v>516</v>
      </c>
      <c r="B489" s="1">
        <v>45501</v>
      </c>
      <c r="C489" s="1">
        <v>45506</v>
      </c>
      <c r="D489" s="6">
        <f t="shared" si="14"/>
        <v>5</v>
      </c>
      <c r="E489" t="s">
        <v>18</v>
      </c>
      <c r="F489" t="s">
        <v>33</v>
      </c>
      <c r="G489" t="s">
        <v>14</v>
      </c>
      <c r="H489" t="s">
        <v>40</v>
      </c>
      <c r="I489">
        <v>8</v>
      </c>
      <c r="J489" s="2">
        <v>1361.17</v>
      </c>
      <c r="K489" s="2">
        <v>1045.06</v>
      </c>
      <c r="L489" s="2">
        <f t="shared" si="15"/>
        <v>316.11000000000013</v>
      </c>
      <c r="M489" t="s">
        <v>21</v>
      </c>
    </row>
    <row r="490" spans="1:13" x14ac:dyDescent="0.3">
      <c r="A490" t="s">
        <v>517</v>
      </c>
      <c r="B490" s="1">
        <v>45496</v>
      </c>
      <c r="C490" s="1">
        <v>45499</v>
      </c>
      <c r="D490" s="6">
        <f t="shared" si="14"/>
        <v>3</v>
      </c>
      <c r="E490" t="s">
        <v>42</v>
      </c>
      <c r="F490" t="s">
        <v>27</v>
      </c>
      <c r="G490" t="s">
        <v>14</v>
      </c>
      <c r="H490" t="s">
        <v>20</v>
      </c>
      <c r="I490">
        <v>1</v>
      </c>
      <c r="J490" s="2">
        <v>925.06</v>
      </c>
      <c r="K490" s="2">
        <v>718.25</v>
      </c>
      <c r="L490" s="2">
        <f t="shared" si="15"/>
        <v>206.80999999999995</v>
      </c>
      <c r="M490" t="s">
        <v>21</v>
      </c>
    </row>
    <row r="491" spans="1:13" x14ac:dyDescent="0.3">
      <c r="A491" t="s">
        <v>518</v>
      </c>
      <c r="B491" s="1">
        <v>45592</v>
      </c>
      <c r="C491" s="1">
        <v>45599</v>
      </c>
      <c r="D491" s="6">
        <f t="shared" si="14"/>
        <v>7</v>
      </c>
      <c r="E491" t="s">
        <v>42</v>
      </c>
      <c r="F491" t="s">
        <v>31</v>
      </c>
      <c r="G491" t="s">
        <v>14</v>
      </c>
      <c r="H491" t="s">
        <v>20</v>
      </c>
      <c r="I491">
        <v>10</v>
      </c>
      <c r="J491" s="2">
        <v>1896.31</v>
      </c>
      <c r="K491" s="2">
        <v>1380.78</v>
      </c>
      <c r="L491" s="2">
        <f t="shared" si="15"/>
        <v>515.53</v>
      </c>
      <c r="M491" t="s">
        <v>16</v>
      </c>
    </row>
    <row r="492" spans="1:13" x14ac:dyDescent="0.3">
      <c r="A492" t="s">
        <v>519</v>
      </c>
      <c r="B492" s="1">
        <v>45580</v>
      </c>
      <c r="C492" s="1">
        <v>45589</v>
      </c>
      <c r="D492" s="6">
        <f t="shared" si="14"/>
        <v>9</v>
      </c>
      <c r="E492" t="s">
        <v>23</v>
      </c>
      <c r="F492" t="s">
        <v>27</v>
      </c>
      <c r="G492" t="s">
        <v>19</v>
      </c>
      <c r="H492" t="s">
        <v>40</v>
      </c>
      <c r="I492">
        <v>8</v>
      </c>
      <c r="J492" s="2">
        <v>1555.87</v>
      </c>
      <c r="K492" s="2">
        <v>1201.57</v>
      </c>
      <c r="L492" s="2">
        <f t="shared" si="15"/>
        <v>354.29999999999995</v>
      </c>
      <c r="M492" t="s">
        <v>21</v>
      </c>
    </row>
    <row r="493" spans="1:13" x14ac:dyDescent="0.3">
      <c r="A493" t="s">
        <v>520</v>
      </c>
      <c r="B493" s="1">
        <v>45358</v>
      </c>
      <c r="C493" s="1">
        <v>45361</v>
      </c>
      <c r="D493" s="6">
        <f t="shared" si="14"/>
        <v>3</v>
      </c>
      <c r="E493" t="s">
        <v>23</v>
      </c>
      <c r="F493" t="s">
        <v>24</v>
      </c>
      <c r="G493" t="s">
        <v>19</v>
      </c>
      <c r="H493" t="s">
        <v>15</v>
      </c>
      <c r="I493">
        <v>1</v>
      </c>
      <c r="J493" s="2">
        <v>1953.52</v>
      </c>
      <c r="K493" s="2">
        <v>1633.89</v>
      </c>
      <c r="L493" s="2">
        <f t="shared" si="15"/>
        <v>319.62999999999988</v>
      </c>
      <c r="M493" t="s">
        <v>21</v>
      </c>
    </row>
    <row r="494" spans="1:13" x14ac:dyDescent="0.3">
      <c r="A494" t="s">
        <v>521</v>
      </c>
      <c r="B494" s="1">
        <v>45507</v>
      </c>
      <c r="C494" s="1">
        <v>45516</v>
      </c>
      <c r="D494" s="6">
        <f t="shared" si="14"/>
        <v>9</v>
      </c>
      <c r="E494" t="s">
        <v>42</v>
      </c>
      <c r="F494" t="s">
        <v>33</v>
      </c>
      <c r="G494" t="s">
        <v>19</v>
      </c>
      <c r="H494" t="s">
        <v>15</v>
      </c>
      <c r="I494">
        <v>4</v>
      </c>
      <c r="J494" s="2">
        <v>1821.79</v>
      </c>
      <c r="K494" s="2">
        <v>1217.3699999999999</v>
      </c>
      <c r="L494" s="2">
        <f t="shared" si="15"/>
        <v>604.42000000000007</v>
      </c>
      <c r="M494" t="s">
        <v>29</v>
      </c>
    </row>
    <row r="495" spans="1:13" x14ac:dyDescent="0.3">
      <c r="A495" t="s">
        <v>522</v>
      </c>
      <c r="B495" s="1">
        <v>45552</v>
      </c>
      <c r="C495" s="1">
        <v>45554</v>
      </c>
      <c r="D495" s="6">
        <f t="shared" si="14"/>
        <v>2</v>
      </c>
      <c r="E495" t="s">
        <v>42</v>
      </c>
      <c r="F495" t="s">
        <v>13</v>
      </c>
      <c r="G495" t="s">
        <v>19</v>
      </c>
      <c r="H495" t="s">
        <v>25</v>
      </c>
      <c r="I495">
        <v>5</v>
      </c>
      <c r="J495" s="2">
        <v>826.54</v>
      </c>
      <c r="K495" s="2">
        <v>596.16</v>
      </c>
      <c r="L495" s="2">
        <f t="shared" si="15"/>
        <v>230.38</v>
      </c>
      <c r="M495" t="s">
        <v>21</v>
      </c>
    </row>
    <row r="496" spans="1:13" x14ac:dyDescent="0.3">
      <c r="A496" t="s">
        <v>523</v>
      </c>
      <c r="B496" s="1">
        <v>45466</v>
      </c>
      <c r="C496" s="1">
        <v>45469</v>
      </c>
      <c r="D496" s="6">
        <f t="shared" si="14"/>
        <v>3</v>
      </c>
      <c r="E496" t="s">
        <v>12</v>
      </c>
      <c r="F496" t="s">
        <v>31</v>
      </c>
      <c r="G496" t="s">
        <v>14</v>
      </c>
      <c r="H496" t="s">
        <v>40</v>
      </c>
      <c r="I496">
        <v>7</v>
      </c>
      <c r="J496" s="2">
        <v>1681.96</v>
      </c>
      <c r="K496" s="2">
        <v>1360.17</v>
      </c>
      <c r="L496" s="2">
        <f t="shared" si="15"/>
        <v>321.78999999999996</v>
      </c>
      <c r="M496" t="s">
        <v>21</v>
      </c>
    </row>
    <row r="497" spans="1:13" x14ac:dyDescent="0.3">
      <c r="A497" t="s">
        <v>524</v>
      </c>
      <c r="B497" s="1">
        <v>45322</v>
      </c>
      <c r="C497" s="1">
        <v>45324</v>
      </c>
      <c r="D497" s="6">
        <f t="shared" si="14"/>
        <v>2</v>
      </c>
      <c r="E497" t="s">
        <v>23</v>
      </c>
      <c r="F497" t="s">
        <v>31</v>
      </c>
      <c r="G497" t="s">
        <v>14</v>
      </c>
      <c r="H497" t="s">
        <v>20</v>
      </c>
      <c r="I497">
        <v>6</v>
      </c>
      <c r="J497" s="2">
        <v>1725.22</v>
      </c>
      <c r="K497" s="2">
        <v>1057.0999999999999</v>
      </c>
      <c r="L497" s="2">
        <f t="shared" si="15"/>
        <v>668.12000000000012</v>
      </c>
      <c r="M497" t="s">
        <v>16</v>
      </c>
    </row>
    <row r="498" spans="1:13" x14ac:dyDescent="0.3">
      <c r="A498" t="s">
        <v>525</v>
      </c>
      <c r="B498" s="1">
        <v>45295</v>
      </c>
      <c r="C498" s="1">
        <v>45301</v>
      </c>
      <c r="D498" s="6">
        <f t="shared" si="14"/>
        <v>6</v>
      </c>
      <c r="E498" t="s">
        <v>42</v>
      </c>
      <c r="F498" t="s">
        <v>27</v>
      </c>
      <c r="G498" t="s">
        <v>19</v>
      </c>
      <c r="H498" t="s">
        <v>15</v>
      </c>
      <c r="I498">
        <v>1</v>
      </c>
      <c r="J498" s="2">
        <v>986.21</v>
      </c>
      <c r="K498" s="2">
        <v>629.67999999999995</v>
      </c>
      <c r="L498" s="2">
        <f t="shared" si="15"/>
        <v>356.53000000000009</v>
      </c>
      <c r="M498" t="s">
        <v>21</v>
      </c>
    </row>
    <row r="499" spans="1:13" x14ac:dyDescent="0.3">
      <c r="A499" t="s">
        <v>526</v>
      </c>
      <c r="B499" s="1">
        <v>45506</v>
      </c>
      <c r="C499" s="1">
        <v>45514</v>
      </c>
      <c r="D499" s="6">
        <f t="shared" si="14"/>
        <v>8</v>
      </c>
      <c r="E499" t="s">
        <v>12</v>
      </c>
      <c r="F499" t="s">
        <v>27</v>
      </c>
      <c r="G499" t="s">
        <v>14</v>
      </c>
      <c r="H499" t="s">
        <v>20</v>
      </c>
      <c r="I499">
        <v>2</v>
      </c>
      <c r="J499" s="2">
        <v>658.02</v>
      </c>
      <c r="K499" s="2">
        <v>527.37</v>
      </c>
      <c r="L499" s="2">
        <f t="shared" si="15"/>
        <v>130.64999999999998</v>
      </c>
      <c r="M499" t="s">
        <v>29</v>
      </c>
    </row>
    <row r="500" spans="1:13" x14ac:dyDescent="0.3">
      <c r="A500" t="s">
        <v>527</v>
      </c>
      <c r="B500" s="1">
        <v>45352</v>
      </c>
      <c r="C500" s="1">
        <v>45355</v>
      </c>
      <c r="D500" s="6">
        <f t="shared" si="14"/>
        <v>3</v>
      </c>
      <c r="E500" t="s">
        <v>23</v>
      </c>
      <c r="F500" t="s">
        <v>24</v>
      </c>
      <c r="G500" t="s">
        <v>19</v>
      </c>
      <c r="H500" t="s">
        <v>40</v>
      </c>
      <c r="I500">
        <v>5</v>
      </c>
      <c r="J500" s="2">
        <v>924.44</v>
      </c>
      <c r="K500" s="2">
        <v>571.99</v>
      </c>
      <c r="L500" s="2">
        <f t="shared" si="15"/>
        <v>352.45000000000005</v>
      </c>
      <c r="M500" t="s">
        <v>16</v>
      </c>
    </row>
    <row r="501" spans="1:13" x14ac:dyDescent="0.3">
      <c r="A501" t="s">
        <v>528</v>
      </c>
      <c r="B501" s="1">
        <v>45512</v>
      </c>
      <c r="C501" s="1">
        <v>45519</v>
      </c>
      <c r="D501" s="6">
        <f t="shared" si="14"/>
        <v>7</v>
      </c>
      <c r="E501" t="s">
        <v>18</v>
      </c>
      <c r="F501" t="s">
        <v>24</v>
      </c>
      <c r="G501" t="s">
        <v>19</v>
      </c>
      <c r="H501" t="s">
        <v>15</v>
      </c>
      <c r="I501">
        <v>2</v>
      </c>
      <c r="J501" s="2">
        <v>1409.83</v>
      </c>
      <c r="K501" s="2">
        <v>968.39</v>
      </c>
      <c r="L501" s="2">
        <f t="shared" si="15"/>
        <v>441.43999999999994</v>
      </c>
      <c r="M50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6F76-7A33-4E52-9154-5A1ECBB0071C}">
  <dimension ref="A3:I26"/>
  <sheetViews>
    <sheetView workbookViewId="0">
      <selection activeCell="D12" sqref="D12"/>
    </sheetView>
  </sheetViews>
  <sheetFormatPr defaultRowHeight="14.4" x14ac:dyDescent="0.3"/>
  <cols>
    <col min="1" max="1" width="12.5546875" bestFit="1" customWidth="1"/>
    <col min="2" max="2" width="19.33203125" bestFit="1" customWidth="1"/>
    <col min="3" max="3" width="11.6640625" bestFit="1" customWidth="1"/>
    <col min="4" max="4" width="12.5546875" bestFit="1" customWidth="1"/>
    <col min="5" max="5" width="11.6640625" bestFit="1" customWidth="1"/>
    <col min="6" max="7" width="12.5546875" bestFit="1" customWidth="1"/>
    <col min="8" max="8" width="15.88671875" bestFit="1" customWidth="1"/>
    <col min="9" max="9" width="12.109375" bestFit="1" customWidth="1"/>
  </cols>
  <sheetData>
    <row r="3" spans="1:9" x14ac:dyDescent="0.3">
      <c r="A3" s="7" t="s">
        <v>535</v>
      </c>
      <c r="B3" t="s">
        <v>539</v>
      </c>
      <c r="C3" t="s">
        <v>538</v>
      </c>
      <c r="G3" s="7" t="s">
        <v>535</v>
      </c>
      <c r="H3" t="s">
        <v>540</v>
      </c>
      <c r="I3" t="s">
        <v>541</v>
      </c>
    </row>
    <row r="4" spans="1:9" x14ac:dyDescent="0.3">
      <c r="A4" s="8" t="s">
        <v>23</v>
      </c>
      <c r="B4">
        <v>5.8239999999999998</v>
      </c>
      <c r="C4">
        <v>128423.61999999998</v>
      </c>
      <c r="G4" s="8" t="s">
        <v>40</v>
      </c>
      <c r="H4">
        <v>125</v>
      </c>
      <c r="I4">
        <v>37140.149999999987</v>
      </c>
    </row>
    <row r="5" spans="1:9" x14ac:dyDescent="0.3">
      <c r="A5" s="8" t="s">
        <v>18</v>
      </c>
      <c r="B5">
        <v>6.3520000000000003</v>
      </c>
      <c r="C5">
        <v>132495.9</v>
      </c>
      <c r="G5" s="8" t="s">
        <v>25</v>
      </c>
      <c r="H5">
        <v>122</v>
      </c>
      <c r="I5">
        <v>32506.809999999998</v>
      </c>
    </row>
    <row r="6" spans="1:9" x14ac:dyDescent="0.3">
      <c r="A6" s="8" t="s">
        <v>12</v>
      </c>
      <c r="B6">
        <v>6.1583333333333332</v>
      </c>
      <c r="C6">
        <v>120754.58000000003</v>
      </c>
      <c r="G6" s="8" t="s">
        <v>15</v>
      </c>
      <c r="H6">
        <v>118</v>
      </c>
      <c r="I6">
        <v>32619.250000000004</v>
      </c>
    </row>
    <row r="7" spans="1:9" x14ac:dyDescent="0.3">
      <c r="A7" s="8" t="s">
        <v>42</v>
      </c>
      <c r="B7">
        <v>5.9692307692307693</v>
      </c>
      <c r="C7">
        <v>141668.70000000007</v>
      </c>
      <c r="G7" s="8" t="s">
        <v>20</v>
      </c>
      <c r="H7">
        <v>135</v>
      </c>
      <c r="I7">
        <v>39932.67</v>
      </c>
    </row>
    <row r="8" spans="1:9" x14ac:dyDescent="0.3">
      <c r="A8" s="8" t="s">
        <v>536</v>
      </c>
      <c r="G8" s="8" t="s">
        <v>536</v>
      </c>
    </row>
    <row r="9" spans="1:9" x14ac:dyDescent="0.3">
      <c r="A9" s="8" t="s">
        <v>537</v>
      </c>
      <c r="B9">
        <v>6.0739999999999998</v>
      </c>
      <c r="C9">
        <v>523342.79999999993</v>
      </c>
      <c r="G9" s="8" t="s">
        <v>537</v>
      </c>
      <c r="H9">
        <v>500</v>
      </c>
      <c r="I9">
        <v>142198.88000000018</v>
      </c>
    </row>
    <row r="12" spans="1:9" x14ac:dyDescent="0.3">
      <c r="D12" s="7" t="s">
        <v>535</v>
      </c>
      <c r="E12" t="s">
        <v>538</v>
      </c>
    </row>
    <row r="13" spans="1:9" x14ac:dyDescent="0.3">
      <c r="D13" s="8" t="s">
        <v>542</v>
      </c>
    </row>
    <row r="14" spans="1:9" x14ac:dyDescent="0.3">
      <c r="D14" s="8" t="s">
        <v>543</v>
      </c>
      <c r="E14">
        <v>41395.31</v>
      </c>
    </row>
    <row r="15" spans="1:9" x14ac:dyDescent="0.3">
      <c r="D15" s="8" t="s">
        <v>544</v>
      </c>
      <c r="E15">
        <v>25021.149999999991</v>
      </c>
    </row>
    <row r="16" spans="1:9" x14ac:dyDescent="0.3">
      <c r="D16" s="8" t="s">
        <v>545</v>
      </c>
      <c r="E16">
        <v>40612.889999999992</v>
      </c>
    </row>
    <row r="17" spans="4:5" x14ac:dyDescent="0.3">
      <c r="D17" s="8" t="s">
        <v>546</v>
      </c>
      <c r="E17">
        <v>31596.959999999999</v>
      </c>
    </row>
    <row r="18" spans="4:5" x14ac:dyDescent="0.3">
      <c r="D18" s="8" t="s">
        <v>547</v>
      </c>
      <c r="E18">
        <v>32100.430000000008</v>
      </c>
    </row>
    <row r="19" spans="4:5" x14ac:dyDescent="0.3">
      <c r="D19" s="8" t="s">
        <v>548</v>
      </c>
      <c r="E19">
        <v>40029.680000000008</v>
      </c>
    </row>
    <row r="20" spans="4:5" x14ac:dyDescent="0.3">
      <c r="D20" s="8" t="s">
        <v>549</v>
      </c>
      <c r="E20">
        <v>52913.090000000004</v>
      </c>
    </row>
    <row r="21" spans="4:5" x14ac:dyDescent="0.3">
      <c r="D21" s="8" t="s">
        <v>550</v>
      </c>
      <c r="E21">
        <v>46472.7</v>
      </c>
    </row>
    <row r="22" spans="4:5" x14ac:dyDescent="0.3">
      <c r="D22" s="8" t="s">
        <v>551</v>
      </c>
      <c r="E22">
        <v>66962.840000000026</v>
      </c>
    </row>
    <row r="23" spans="4:5" x14ac:dyDescent="0.3">
      <c r="D23" s="8" t="s">
        <v>552</v>
      </c>
      <c r="E23">
        <v>54006.099999999984</v>
      </c>
    </row>
    <row r="24" spans="4:5" x14ac:dyDescent="0.3">
      <c r="D24" s="8" t="s">
        <v>553</v>
      </c>
      <c r="E24">
        <v>39621.819999999978</v>
      </c>
    </row>
    <row r="25" spans="4:5" x14ac:dyDescent="0.3">
      <c r="D25" s="8" t="s">
        <v>554</v>
      </c>
      <c r="E25">
        <v>52609.83</v>
      </c>
    </row>
    <row r="26" spans="4:5" x14ac:dyDescent="0.3">
      <c r="D26" s="8" t="s">
        <v>537</v>
      </c>
      <c r="E26">
        <v>523342.8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65713-C4A4-4C54-8DE2-B93BC89461D6}">
  <dimension ref="A1:D2"/>
  <sheetViews>
    <sheetView tabSelected="1" workbookViewId="0">
      <selection activeCell="C6" sqref="C6"/>
    </sheetView>
  </sheetViews>
  <sheetFormatPr defaultRowHeight="14.4" x14ac:dyDescent="0.3"/>
  <cols>
    <col min="1" max="1" width="11.109375" bestFit="1" customWidth="1"/>
    <col min="2" max="2" width="9.77734375" bestFit="1" customWidth="1"/>
    <col min="3" max="3" width="10.44140625" style="10" bestFit="1" customWidth="1"/>
    <col min="4" max="4" width="16.44140625" style="12" bestFit="1" customWidth="1"/>
  </cols>
  <sheetData>
    <row r="1" spans="1:4" x14ac:dyDescent="0.3">
      <c r="A1" s="3" t="s">
        <v>531</v>
      </c>
      <c r="B1" s="3" t="s">
        <v>532</v>
      </c>
      <c r="C1" s="9" t="s">
        <v>533</v>
      </c>
      <c r="D1" s="11" t="s">
        <v>534</v>
      </c>
    </row>
    <row r="2" spans="1:4" x14ac:dyDescent="0.3">
      <c r="A2">
        <f>COUNTA(Clean_Data!A:A)</f>
        <v>501</v>
      </c>
      <c r="B2">
        <f>SUM(Clean_Data!I:I)</f>
        <v>2719</v>
      </c>
      <c r="C2" s="10">
        <f>SUM(Clean_Data!K:K)</f>
        <v>381143.92000000016</v>
      </c>
      <c r="D2" s="12">
        <f>AVERAGE(Clean_Data!D:D)</f>
        <v>6.0739999999999998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Clean_Data</vt:lpstr>
      <vt:lpstr>Pivot Tables</vt:lpstr>
      <vt:lpstr>KPI'S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Manav Shah</cp:lastModifiedBy>
  <dcterms:created xsi:type="dcterms:W3CDTF">2026-01-08T16:49:44Z</dcterms:created>
  <dcterms:modified xsi:type="dcterms:W3CDTF">2026-01-08T18:42:56Z</dcterms:modified>
</cp:coreProperties>
</file>